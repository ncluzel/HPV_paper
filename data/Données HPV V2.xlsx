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nemichon/Desktop/"/>
    </mc:Choice>
  </mc:AlternateContent>
  <xr:revisionPtr revIDLastSave="0" documentId="13_ncr:1_{E83EBBE7-FACF-E842-A672-1621C0FFE91F}" xr6:coauthVersionLast="47" xr6:coauthVersionMax="47" xr10:uidLastSave="{00000000-0000-0000-0000-000000000000}"/>
  <bookViews>
    <workbookView xWindow="160" yWindow="840" windowWidth="25280" windowHeight="14580" xr2:uid="{DE5A28E4-6003-E14A-AE1D-1ED675AA446B}"/>
  </bookViews>
  <sheets>
    <sheet name="Hautes fréquences" sheetId="1" r:id="rId1"/>
    <sheet name="Données débits manquants" sheetId="2" r:id="rId2"/>
    <sheet name="Parametres physocochimiques" sheetId="5" r:id="rId3"/>
    <sheet name="HPV 66" sheetId="3" r:id="rId4"/>
    <sheet name="HPV 6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G27" i="4"/>
  <c r="I27" i="4" s="1"/>
  <c r="K27" i="4" s="1"/>
  <c r="F27" i="4"/>
  <c r="H27" i="4" s="1"/>
  <c r="J27" i="4" s="1"/>
  <c r="G26" i="4"/>
  <c r="I26" i="4" s="1"/>
  <c r="K26" i="4" s="1"/>
  <c r="F26" i="4"/>
  <c r="H26" i="4" s="1"/>
  <c r="J26" i="4" s="1"/>
  <c r="G25" i="4"/>
  <c r="I25" i="4" s="1"/>
  <c r="K25" i="4" s="1"/>
  <c r="F25" i="4"/>
  <c r="H25" i="4" s="1"/>
  <c r="J25" i="4" s="1"/>
  <c r="G24" i="4"/>
  <c r="I24" i="4" s="1"/>
  <c r="K24" i="4" s="1"/>
  <c r="F24" i="4"/>
  <c r="H24" i="4" s="1"/>
  <c r="J24" i="4" s="1"/>
  <c r="G23" i="4"/>
  <c r="I23" i="4" s="1"/>
  <c r="K23" i="4" s="1"/>
  <c r="F23" i="4"/>
  <c r="H23" i="4" s="1"/>
  <c r="J23" i="4" s="1"/>
  <c r="G22" i="4"/>
  <c r="I22" i="4" s="1"/>
  <c r="K22" i="4" s="1"/>
  <c r="F22" i="4"/>
  <c r="H22" i="4" s="1"/>
  <c r="J22" i="4" s="1"/>
  <c r="G21" i="4"/>
  <c r="I21" i="4" s="1"/>
  <c r="K21" i="4" s="1"/>
  <c r="F21" i="4"/>
  <c r="H21" i="4" s="1"/>
  <c r="J21" i="4" s="1"/>
  <c r="G20" i="4"/>
  <c r="I20" i="4" s="1"/>
  <c r="K20" i="4" s="1"/>
  <c r="F20" i="4"/>
  <c r="H20" i="4" s="1"/>
  <c r="J20" i="4" s="1"/>
  <c r="G19" i="4"/>
  <c r="I19" i="4" s="1"/>
  <c r="K19" i="4" s="1"/>
  <c r="F19" i="4"/>
  <c r="H19" i="4" s="1"/>
  <c r="J19" i="4" s="1"/>
  <c r="G18" i="4"/>
  <c r="I18" i="4" s="1"/>
  <c r="K18" i="4" s="1"/>
  <c r="F18" i="4"/>
  <c r="H18" i="4" s="1"/>
  <c r="J18" i="4" s="1"/>
  <c r="G17" i="4"/>
  <c r="I17" i="4" s="1"/>
  <c r="K17" i="4" s="1"/>
  <c r="F17" i="4"/>
  <c r="H17" i="4" s="1"/>
  <c r="J17" i="4" s="1"/>
  <c r="G16" i="4"/>
  <c r="I16" i="4" s="1"/>
  <c r="K16" i="4" s="1"/>
  <c r="F16" i="4"/>
  <c r="H16" i="4" s="1"/>
  <c r="J16" i="4" s="1"/>
  <c r="G15" i="4"/>
  <c r="I15" i="4" s="1"/>
  <c r="K15" i="4" s="1"/>
  <c r="F15" i="4"/>
  <c r="H15" i="4" s="1"/>
  <c r="J15" i="4" s="1"/>
  <c r="G14" i="4"/>
  <c r="I14" i="4" s="1"/>
  <c r="K14" i="4" s="1"/>
  <c r="F14" i="4"/>
  <c r="H14" i="4" s="1"/>
  <c r="J14" i="4" s="1"/>
  <c r="G13" i="4"/>
  <c r="I13" i="4" s="1"/>
  <c r="K13" i="4" s="1"/>
  <c r="F13" i="4"/>
  <c r="H13" i="4" s="1"/>
  <c r="J13" i="4" s="1"/>
  <c r="G12" i="4"/>
  <c r="I12" i="4" s="1"/>
  <c r="K12" i="4" s="1"/>
  <c r="F12" i="4"/>
  <c r="H12" i="4" s="1"/>
  <c r="J12" i="4" s="1"/>
  <c r="G11" i="4"/>
  <c r="I11" i="4" s="1"/>
  <c r="K11" i="4" s="1"/>
  <c r="F11" i="4"/>
  <c r="H11" i="4" s="1"/>
  <c r="J11" i="4" s="1"/>
  <c r="G10" i="4"/>
  <c r="I10" i="4" s="1"/>
  <c r="K10" i="4" s="1"/>
  <c r="F10" i="4"/>
  <c r="H10" i="4" s="1"/>
  <c r="J10" i="4" s="1"/>
  <c r="G9" i="4"/>
  <c r="I9" i="4" s="1"/>
  <c r="K9" i="4" s="1"/>
  <c r="F9" i="4"/>
  <c r="H9" i="4" s="1"/>
  <c r="J9" i="4" s="1"/>
  <c r="G8" i="4"/>
  <c r="I8" i="4" s="1"/>
  <c r="K8" i="4" s="1"/>
  <c r="F8" i="4"/>
  <c r="H8" i="4" s="1"/>
  <c r="J8" i="4" s="1"/>
  <c r="G7" i="4"/>
  <c r="I7" i="4" s="1"/>
  <c r="K7" i="4" s="1"/>
  <c r="F7" i="4"/>
  <c r="H7" i="4" s="1"/>
  <c r="J7" i="4" s="1"/>
  <c r="G6" i="4"/>
  <c r="I6" i="4" s="1"/>
  <c r="K6" i="4" s="1"/>
  <c r="F6" i="4"/>
  <c r="H6" i="4" s="1"/>
  <c r="J6" i="4" s="1"/>
  <c r="G5" i="4"/>
  <c r="I5" i="4" s="1"/>
  <c r="K5" i="4" s="1"/>
  <c r="F5" i="4"/>
  <c r="H5" i="4" s="1"/>
  <c r="J5" i="4" s="1"/>
  <c r="G4" i="4"/>
  <c r="I4" i="4" s="1"/>
  <c r="K4" i="4" s="1"/>
  <c r="F4" i="4"/>
  <c r="H4" i="4" s="1"/>
  <c r="J4" i="4" s="1"/>
  <c r="G3" i="4"/>
  <c r="I3" i="4" s="1"/>
  <c r="K3" i="4" s="1"/>
  <c r="F3" i="4"/>
  <c r="H3" i="4" s="1"/>
  <c r="J3" i="4" s="1"/>
  <c r="G40" i="3"/>
  <c r="I40" i="3" s="1"/>
  <c r="K40" i="3" s="1"/>
  <c r="F40" i="3"/>
  <c r="H40" i="3" s="1"/>
  <c r="J40" i="3" s="1"/>
  <c r="G39" i="3"/>
  <c r="I39" i="3" s="1"/>
  <c r="K39" i="3" s="1"/>
  <c r="F39" i="3"/>
  <c r="H39" i="3" s="1"/>
  <c r="J39" i="3" s="1"/>
  <c r="G38" i="3"/>
  <c r="I38" i="3" s="1"/>
  <c r="K38" i="3" s="1"/>
  <c r="F38" i="3"/>
  <c r="H38" i="3" s="1"/>
  <c r="J38" i="3" s="1"/>
  <c r="G37" i="3"/>
  <c r="I37" i="3" s="1"/>
  <c r="K37" i="3" s="1"/>
  <c r="F37" i="3"/>
  <c r="H37" i="3" s="1"/>
  <c r="J37" i="3" s="1"/>
  <c r="G36" i="3"/>
  <c r="I36" i="3" s="1"/>
  <c r="K36" i="3" s="1"/>
  <c r="F36" i="3"/>
  <c r="H36" i="3" s="1"/>
  <c r="J36" i="3" s="1"/>
  <c r="G35" i="3"/>
  <c r="I35" i="3" s="1"/>
  <c r="K35" i="3" s="1"/>
  <c r="F35" i="3"/>
  <c r="H35" i="3" s="1"/>
  <c r="J35" i="3" s="1"/>
  <c r="G34" i="3"/>
  <c r="I34" i="3" s="1"/>
  <c r="K34" i="3" s="1"/>
  <c r="F34" i="3"/>
  <c r="H34" i="3" s="1"/>
  <c r="J34" i="3" s="1"/>
  <c r="G33" i="3"/>
  <c r="I33" i="3" s="1"/>
  <c r="K33" i="3" s="1"/>
  <c r="F33" i="3"/>
  <c r="H33" i="3" s="1"/>
  <c r="J33" i="3" s="1"/>
  <c r="G32" i="3"/>
  <c r="I32" i="3" s="1"/>
  <c r="K32" i="3" s="1"/>
  <c r="F32" i="3"/>
  <c r="H32" i="3" s="1"/>
  <c r="J32" i="3" s="1"/>
  <c r="G31" i="3"/>
  <c r="I31" i="3" s="1"/>
  <c r="K31" i="3" s="1"/>
  <c r="F31" i="3"/>
  <c r="H31" i="3" s="1"/>
  <c r="J31" i="3" s="1"/>
  <c r="G30" i="3"/>
  <c r="I30" i="3" s="1"/>
  <c r="K30" i="3" s="1"/>
  <c r="F30" i="3"/>
  <c r="H30" i="3" s="1"/>
  <c r="J30" i="3" s="1"/>
  <c r="G29" i="3"/>
  <c r="I29" i="3" s="1"/>
  <c r="K29" i="3" s="1"/>
  <c r="F29" i="3"/>
  <c r="H29" i="3" s="1"/>
  <c r="J29" i="3" s="1"/>
  <c r="G28" i="3"/>
  <c r="I28" i="3" s="1"/>
  <c r="K28" i="3" s="1"/>
  <c r="F28" i="3"/>
  <c r="H28" i="3" s="1"/>
  <c r="J28" i="3" s="1"/>
  <c r="G27" i="3"/>
  <c r="I27" i="3" s="1"/>
  <c r="K27" i="3" s="1"/>
  <c r="F27" i="3"/>
  <c r="H27" i="3" s="1"/>
  <c r="J27" i="3" s="1"/>
  <c r="G26" i="3"/>
  <c r="I26" i="3" s="1"/>
  <c r="K26" i="3" s="1"/>
  <c r="F26" i="3"/>
  <c r="H26" i="3" s="1"/>
  <c r="J26" i="3" s="1"/>
  <c r="G25" i="3"/>
  <c r="I25" i="3" s="1"/>
  <c r="K25" i="3" s="1"/>
  <c r="F25" i="3"/>
  <c r="H25" i="3" s="1"/>
  <c r="J25" i="3" s="1"/>
  <c r="G24" i="3"/>
  <c r="I24" i="3" s="1"/>
  <c r="K24" i="3" s="1"/>
  <c r="F24" i="3"/>
  <c r="H24" i="3" s="1"/>
  <c r="J24" i="3" s="1"/>
  <c r="G23" i="3"/>
  <c r="I23" i="3" s="1"/>
  <c r="K23" i="3" s="1"/>
  <c r="F23" i="3"/>
  <c r="H23" i="3" s="1"/>
  <c r="J23" i="3" s="1"/>
  <c r="G22" i="3"/>
  <c r="I22" i="3" s="1"/>
  <c r="K22" i="3" s="1"/>
  <c r="F22" i="3"/>
  <c r="H22" i="3" s="1"/>
  <c r="J22" i="3" s="1"/>
  <c r="G21" i="3"/>
  <c r="I21" i="3" s="1"/>
  <c r="K21" i="3" s="1"/>
  <c r="F21" i="3"/>
  <c r="H21" i="3" s="1"/>
  <c r="J21" i="3" s="1"/>
  <c r="G20" i="3"/>
  <c r="I20" i="3" s="1"/>
  <c r="K20" i="3" s="1"/>
  <c r="F20" i="3"/>
  <c r="H20" i="3" s="1"/>
  <c r="J20" i="3" s="1"/>
  <c r="G19" i="3"/>
  <c r="I19" i="3" s="1"/>
  <c r="K19" i="3" s="1"/>
  <c r="F19" i="3"/>
  <c r="H19" i="3" s="1"/>
  <c r="J19" i="3" s="1"/>
  <c r="G18" i="3"/>
  <c r="I18" i="3" s="1"/>
  <c r="K18" i="3" s="1"/>
  <c r="F18" i="3"/>
  <c r="H18" i="3" s="1"/>
  <c r="J18" i="3" s="1"/>
  <c r="G17" i="3"/>
  <c r="I17" i="3" s="1"/>
  <c r="K17" i="3" s="1"/>
  <c r="F17" i="3"/>
  <c r="H17" i="3" s="1"/>
  <c r="J17" i="3" s="1"/>
  <c r="G16" i="3"/>
  <c r="I16" i="3" s="1"/>
  <c r="K16" i="3" s="1"/>
  <c r="F16" i="3"/>
  <c r="H16" i="3" s="1"/>
  <c r="J16" i="3" s="1"/>
  <c r="G15" i="3"/>
  <c r="I15" i="3" s="1"/>
  <c r="K15" i="3" s="1"/>
  <c r="F15" i="3"/>
  <c r="H15" i="3" s="1"/>
  <c r="J15" i="3" s="1"/>
  <c r="G14" i="3"/>
  <c r="I14" i="3" s="1"/>
  <c r="K14" i="3" s="1"/>
  <c r="F14" i="3"/>
  <c r="H14" i="3" s="1"/>
  <c r="J14" i="3" s="1"/>
  <c r="G13" i="3"/>
  <c r="I13" i="3" s="1"/>
  <c r="K13" i="3" s="1"/>
  <c r="F13" i="3"/>
  <c r="H13" i="3" s="1"/>
  <c r="J13" i="3" s="1"/>
  <c r="G12" i="3"/>
  <c r="I12" i="3" s="1"/>
  <c r="K12" i="3" s="1"/>
  <c r="F12" i="3"/>
  <c r="H12" i="3" s="1"/>
  <c r="J12" i="3" s="1"/>
  <c r="G11" i="3"/>
  <c r="I11" i="3" s="1"/>
  <c r="K11" i="3" s="1"/>
  <c r="F11" i="3"/>
  <c r="H11" i="3" s="1"/>
  <c r="J11" i="3" s="1"/>
  <c r="G10" i="3"/>
  <c r="I10" i="3" s="1"/>
  <c r="K10" i="3" s="1"/>
  <c r="F10" i="3"/>
  <c r="H10" i="3" s="1"/>
  <c r="J10" i="3" s="1"/>
  <c r="G9" i="3"/>
  <c r="I9" i="3" s="1"/>
  <c r="K9" i="3" s="1"/>
  <c r="F9" i="3"/>
  <c r="H9" i="3" s="1"/>
  <c r="J9" i="3" s="1"/>
  <c r="G8" i="3"/>
  <c r="I8" i="3" s="1"/>
  <c r="K8" i="3" s="1"/>
  <c r="F8" i="3"/>
  <c r="H8" i="3" s="1"/>
  <c r="J8" i="3" s="1"/>
  <c r="G7" i="3"/>
  <c r="I7" i="3" s="1"/>
  <c r="K7" i="3" s="1"/>
  <c r="F7" i="3"/>
  <c r="H7" i="3" s="1"/>
  <c r="J7" i="3" s="1"/>
  <c r="G6" i="3"/>
  <c r="I6" i="3" s="1"/>
  <c r="K6" i="3" s="1"/>
  <c r="F6" i="3"/>
  <c r="H6" i="3" s="1"/>
  <c r="J6" i="3" s="1"/>
  <c r="G5" i="3"/>
  <c r="I5" i="3" s="1"/>
  <c r="K5" i="3" s="1"/>
  <c r="F5" i="3"/>
  <c r="H5" i="3" s="1"/>
  <c r="J5" i="3" s="1"/>
  <c r="M5" i="3"/>
  <c r="G4" i="3"/>
  <c r="I4" i="3" s="1"/>
  <c r="K4" i="3" s="1"/>
  <c r="F4" i="3"/>
  <c r="H4" i="3" s="1"/>
  <c r="J4" i="3" s="1"/>
  <c r="G3" i="3"/>
  <c r="I3" i="3" s="1"/>
  <c r="K3" i="3" s="1"/>
  <c r="F3" i="3"/>
  <c r="H3" i="3" s="1"/>
  <c r="J3" i="3" s="1"/>
  <c r="K3" i="1"/>
  <c r="K103" i="1"/>
  <c r="L103" i="1" s="1"/>
  <c r="M103" i="1" s="1"/>
  <c r="I103" i="1"/>
  <c r="J103" i="1" s="1"/>
  <c r="G103" i="1"/>
  <c r="H103" i="1" s="1"/>
  <c r="K102" i="1"/>
  <c r="L102" i="1" s="1"/>
  <c r="M102" i="1" s="1"/>
  <c r="I102" i="1"/>
  <c r="J102" i="1" s="1"/>
  <c r="G102" i="1"/>
  <c r="H102" i="1" s="1"/>
  <c r="M101" i="1"/>
  <c r="K101" i="1"/>
  <c r="L101" i="1" s="1"/>
  <c r="I101" i="1"/>
  <c r="J101" i="1" s="1"/>
  <c r="G101" i="1"/>
  <c r="H101" i="1" s="1"/>
  <c r="K100" i="1"/>
  <c r="L100" i="1" s="1"/>
  <c r="M100" i="1" s="1"/>
  <c r="I100" i="1"/>
  <c r="J100" i="1" s="1"/>
  <c r="G100" i="1"/>
  <c r="H100" i="1" s="1"/>
  <c r="K99" i="1"/>
  <c r="L99" i="1" s="1"/>
  <c r="M99" i="1" s="1"/>
  <c r="I99" i="1"/>
  <c r="J99" i="1" s="1"/>
  <c r="G99" i="1"/>
  <c r="H99" i="1" s="1"/>
  <c r="K98" i="1"/>
  <c r="L98" i="1" s="1"/>
  <c r="M98" i="1" s="1"/>
  <c r="I98" i="1"/>
  <c r="J98" i="1" s="1"/>
  <c r="G98" i="1"/>
  <c r="H98" i="1" s="1"/>
  <c r="K97" i="1"/>
  <c r="L97" i="1" s="1"/>
  <c r="M97" i="1" s="1"/>
  <c r="I97" i="1"/>
  <c r="J97" i="1" s="1"/>
  <c r="G97" i="1"/>
  <c r="H97" i="1" s="1"/>
  <c r="K96" i="1"/>
  <c r="L96" i="1" s="1"/>
  <c r="M96" i="1" s="1"/>
  <c r="I96" i="1"/>
  <c r="J96" i="1" s="1"/>
  <c r="G96" i="1"/>
  <c r="H96" i="1" s="1"/>
  <c r="K95" i="1"/>
  <c r="L95" i="1" s="1"/>
  <c r="M95" i="1" s="1"/>
  <c r="I95" i="1"/>
  <c r="J95" i="1" s="1"/>
  <c r="G95" i="1"/>
  <c r="H95" i="1" s="1"/>
  <c r="K94" i="1"/>
  <c r="L94" i="1" s="1"/>
  <c r="M94" i="1" s="1"/>
  <c r="I94" i="1"/>
  <c r="J94" i="1" s="1"/>
  <c r="G94" i="1"/>
  <c r="H94" i="1" s="1"/>
  <c r="K93" i="1"/>
  <c r="L93" i="1" s="1"/>
  <c r="M93" i="1" s="1"/>
  <c r="I93" i="1"/>
  <c r="J93" i="1" s="1"/>
  <c r="G93" i="1"/>
  <c r="H93" i="1" s="1"/>
  <c r="K92" i="1"/>
  <c r="L92" i="1" s="1"/>
  <c r="M92" i="1" s="1"/>
  <c r="I92" i="1"/>
  <c r="J92" i="1" s="1"/>
  <c r="G92" i="1"/>
  <c r="H92" i="1" s="1"/>
  <c r="K91" i="1"/>
  <c r="L91" i="1" s="1"/>
  <c r="M91" i="1" s="1"/>
  <c r="I91" i="1"/>
  <c r="J91" i="1" s="1"/>
  <c r="G91" i="1"/>
  <c r="H91" i="1" s="1"/>
  <c r="K90" i="1"/>
  <c r="L90" i="1" s="1"/>
  <c r="M90" i="1" s="1"/>
  <c r="I90" i="1"/>
  <c r="J90" i="1" s="1"/>
  <c r="G90" i="1"/>
  <c r="H90" i="1" s="1"/>
  <c r="K89" i="1"/>
  <c r="L89" i="1" s="1"/>
  <c r="M89" i="1" s="1"/>
  <c r="I89" i="1"/>
  <c r="J89" i="1" s="1"/>
  <c r="G89" i="1"/>
  <c r="H89" i="1" s="1"/>
  <c r="K88" i="1"/>
  <c r="L88" i="1" s="1"/>
  <c r="M88" i="1" s="1"/>
  <c r="I88" i="1"/>
  <c r="J88" i="1" s="1"/>
  <c r="G88" i="1"/>
  <c r="H88" i="1" s="1"/>
  <c r="K87" i="1"/>
  <c r="L87" i="1" s="1"/>
  <c r="M87" i="1" s="1"/>
  <c r="J87" i="1"/>
  <c r="I87" i="1"/>
  <c r="G87" i="1"/>
  <c r="H87" i="1" s="1"/>
  <c r="K86" i="1"/>
  <c r="L86" i="1" s="1"/>
  <c r="M86" i="1" s="1"/>
  <c r="I86" i="1"/>
  <c r="J86" i="1" s="1"/>
  <c r="G86" i="1"/>
  <c r="H86" i="1" s="1"/>
  <c r="K85" i="1"/>
  <c r="L85" i="1" s="1"/>
  <c r="M85" i="1" s="1"/>
  <c r="I85" i="1"/>
  <c r="J85" i="1" s="1"/>
  <c r="G85" i="1"/>
  <c r="H85" i="1" s="1"/>
  <c r="K84" i="1"/>
  <c r="L84" i="1" s="1"/>
  <c r="M84" i="1" s="1"/>
  <c r="I84" i="1"/>
  <c r="J84" i="1" s="1"/>
  <c r="G84" i="1"/>
  <c r="H84" i="1" s="1"/>
  <c r="K83" i="1"/>
  <c r="L83" i="1" s="1"/>
  <c r="M83" i="1" s="1"/>
  <c r="I83" i="1"/>
  <c r="J83" i="1" s="1"/>
  <c r="G83" i="1"/>
  <c r="H83" i="1" s="1"/>
  <c r="K82" i="1"/>
  <c r="L82" i="1" s="1"/>
  <c r="M82" i="1" s="1"/>
  <c r="I82" i="1"/>
  <c r="J82" i="1" s="1"/>
  <c r="G82" i="1"/>
  <c r="H82" i="1" s="1"/>
  <c r="K81" i="1"/>
  <c r="L81" i="1" s="1"/>
  <c r="M81" i="1" s="1"/>
  <c r="J81" i="1"/>
  <c r="I81" i="1"/>
  <c r="G81" i="1"/>
  <c r="H81" i="1" s="1"/>
  <c r="K80" i="1"/>
  <c r="L80" i="1" s="1"/>
  <c r="M80" i="1" s="1"/>
  <c r="I80" i="1"/>
  <c r="J80" i="1" s="1"/>
  <c r="G80" i="1"/>
  <c r="H80" i="1" s="1"/>
  <c r="K79" i="1"/>
  <c r="L79" i="1" s="1"/>
  <c r="M79" i="1" s="1"/>
  <c r="I79" i="1"/>
  <c r="J79" i="1" s="1"/>
  <c r="G79" i="1"/>
  <c r="H79" i="1" s="1"/>
  <c r="K78" i="1"/>
  <c r="L78" i="1" s="1"/>
  <c r="M78" i="1" s="1"/>
  <c r="I78" i="1"/>
  <c r="J78" i="1" s="1"/>
  <c r="G78" i="1"/>
  <c r="H78" i="1" s="1"/>
  <c r="K77" i="1"/>
  <c r="L77" i="1" s="1"/>
  <c r="M77" i="1" s="1"/>
  <c r="I77" i="1"/>
  <c r="J77" i="1" s="1"/>
  <c r="G77" i="1"/>
  <c r="H77" i="1" s="1"/>
  <c r="K76" i="1"/>
  <c r="L76" i="1" s="1"/>
  <c r="M76" i="1" s="1"/>
  <c r="I76" i="1"/>
  <c r="J76" i="1" s="1"/>
  <c r="G76" i="1"/>
  <c r="H76" i="1" s="1"/>
  <c r="K75" i="1"/>
  <c r="L75" i="1" s="1"/>
  <c r="M75" i="1" s="1"/>
  <c r="I75" i="1"/>
  <c r="J75" i="1" s="1"/>
  <c r="G75" i="1"/>
  <c r="H75" i="1" s="1"/>
  <c r="K74" i="1"/>
  <c r="L74" i="1" s="1"/>
  <c r="M74" i="1" s="1"/>
  <c r="I74" i="1"/>
  <c r="J74" i="1" s="1"/>
  <c r="G74" i="1"/>
  <c r="H74" i="1" s="1"/>
  <c r="K73" i="1"/>
  <c r="L73" i="1" s="1"/>
  <c r="M73" i="1" s="1"/>
  <c r="I73" i="1"/>
  <c r="J73" i="1" s="1"/>
  <c r="G73" i="1"/>
  <c r="H73" i="1" s="1"/>
  <c r="K72" i="1"/>
  <c r="L72" i="1" s="1"/>
  <c r="M72" i="1" s="1"/>
  <c r="I72" i="1"/>
  <c r="J72" i="1" s="1"/>
  <c r="G72" i="1"/>
  <c r="H72" i="1" s="1"/>
  <c r="K71" i="1"/>
  <c r="L71" i="1" s="1"/>
  <c r="M71" i="1" s="1"/>
  <c r="I71" i="1"/>
  <c r="J71" i="1" s="1"/>
  <c r="G71" i="1"/>
  <c r="H71" i="1" s="1"/>
  <c r="K70" i="1"/>
  <c r="L70" i="1" s="1"/>
  <c r="M70" i="1" s="1"/>
  <c r="I70" i="1"/>
  <c r="J70" i="1" s="1"/>
  <c r="G70" i="1"/>
  <c r="H70" i="1" s="1"/>
  <c r="K69" i="1"/>
  <c r="L69" i="1" s="1"/>
  <c r="M69" i="1" s="1"/>
  <c r="J69" i="1"/>
  <c r="I69" i="1"/>
  <c r="G69" i="1"/>
  <c r="H69" i="1" s="1"/>
  <c r="K68" i="1"/>
  <c r="L68" i="1" s="1"/>
  <c r="M68" i="1" s="1"/>
  <c r="I68" i="1"/>
  <c r="J68" i="1" s="1"/>
  <c r="G68" i="1"/>
  <c r="H68" i="1" s="1"/>
  <c r="K67" i="1"/>
  <c r="L67" i="1" s="1"/>
  <c r="M67" i="1" s="1"/>
  <c r="I67" i="1"/>
  <c r="J67" i="1" s="1"/>
  <c r="G67" i="1"/>
  <c r="H67" i="1" s="1"/>
  <c r="K66" i="1"/>
  <c r="L66" i="1" s="1"/>
  <c r="M66" i="1" s="1"/>
  <c r="I66" i="1"/>
  <c r="J66" i="1" s="1"/>
  <c r="G66" i="1"/>
  <c r="H66" i="1" s="1"/>
  <c r="K65" i="1"/>
  <c r="L65" i="1" s="1"/>
  <c r="M65" i="1" s="1"/>
  <c r="I65" i="1"/>
  <c r="J65" i="1" s="1"/>
  <c r="G65" i="1"/>
  <c r="H65" i="1" s="1"/>
  <c r="K64" i="1"/>
  <c r="L64" i="1" s="1"/>
  <c r="M64" i="1" s="1"/>
  <c r="I64" i="1"/>
  <c r="J64" i="1" s="1"/>
  <c r="H64" i="1"/>
  <c r="G64" i="1"/>
  <c r="K63" i="1"/>
  <c r="L63" i="1" s="1"/>
  <c r="M63" i="1" s="1"/>
  <c r="I63" i="1"/>
  <c r="J63" i="1" s="1"/>
  <c r="G63" i="1"/>
  <c r="H63" i="1" s="1"/>
  <c r="K62" i="1"/>
  <c r="L62" i="1" s="1"/>
  <c r="M62" i="1" s="1"/>
  <c r="I62" i="1"/>
  <c r="J62" i="1" s="1"/>
  <c r="G62" i="1"/>
  <c r="H62" i="1" s="1"/>
  <c r="K61" i="1"/>
  <c r="L61" i="1" s="1"/>
  <c r="M61" i="1" s="1"/>
  <c r="I61" i="1"/>
  <c r="J61" i="1" s="1"/>
  <c r="G61" i="1"/>
  <c r="H61" i="1" s="1"/>
  <c r="K60" i="1"/>
  <c r="L60" i="1" s="1"/>
  <c r="M60" i="1" s="1"/>
  <c r="I60" i="1"/>
  <c r="J60" i="1" s="1"/>
  <c r="G60" i="1"/>
  <c r="H60" i="1" s="1"/>
  <c r="K59" i="1"/>
  <c r="L59" i="1" s="1"/>
  <c r="M59" i="1" s="1"/>
  <c r="I59" i="1"/>
  <c r="J59" i="1" s="1"/>
  <c r="G59" i="1"/>
  <c r="H59" i="1" s="1"/>
  <c r="K58" i="1"/>
  <c r="L58" i="1" s="1"/>
  <c r="M58" i="1" s="1"/>
  <c r="I58" i="1"/>
  <c r="J58" i="1" s="1"/>
  <c r="G58" i="1"/>
  <c r="H58" i="1" s="1"/>
  <c r="L57" i="1"/>
  <c r="M57" i="1" s="1"/>
  <c r="K57" i="1"/>
  <c r="I57" i="1"/>
  <c r="J57" i="1" s="1"/>
  <c r="G57" i="1"/>
  <c r="H57" i="1" s="1"/>
  <c r="K56" i="1"/>
  <c r="L56" i="1" s="1"/>
  <c r="M56" i="1" s="1"/>
  <c r="I56" i="1"/>
  <c r="J56" i="1" s="1"/>
  <c r="G56" i="1"/>
  <c r="H56" i="1" s="1"/>
  <c r="K55" i="1"/>
  <c r="L55" i="1" s="1"/>
  <c r="M55" i="1" s="1"/>
  <c r="I55" i="1"/>
  <c r="J55" i="1" s="1"/>
  <c r="G55" i="1"/>
  <c r="H55" i="1" s="1"/>
  <c r="K54" i="1"/>
  <c r="L54" i="1" s="1"/>
  <c r="M54" i="1" s="1"/>
  <c r="I54" i="1"/>
  <c r="J54" i="1" s="1"/>
  <c r="G54" i="1"/>
  <c r="H54" i="1" s="1"/>
  <c r="K53" i="1"/>
  <c r="L53" i="1" s="1"/>
  <c r="M53" i="1" s="1"/>
  <c r="I53" i="1"/>
  <c r="J53" i="1" s="1"/>
  <c r="G53" i="1"/>
  <c r="H53" i="1" s="1"/>
  <c r="K52" i="1"/>
  <c r="L52" i="1" s="1"/>
  <c r="M52" i="1" s="1"/>
  <c r="I52" i="1"/>
  <c r="J52" i="1" s="1"/>
  <c r="G52" i="1"/>
  <c r="H52" i="1" s="1"/>
  <c r="K51" i="1"/>
  <c r="L51" i="1" s="1"/>
  <c r="M51" i="1" s="1"/>
  <c r="J51" i="1"/>
  <c r="I51" i="1"/>
  <c r="G51" i="1"/>
  <c r="H51" i="1" s="1"/>
  <c r="K50" i="1"/>
  <c r="L50" i="1" s="1"/>
  <c r="M50" i="1" s="1"/>
  <c r="I50" i="1"/>
  <c r="J50" i="1" s="1"/>
  <c r="G50" i="1"/>
  <c r="H50" i="1" s="1"/>
  <c r="K49" i="1"/>
  <c r="L49" i="1" s="1"/>
  <c r="M49" i="1" s="1"/>
  <c r="I49" i="1"/>
  <c r="J49" i="1" s="1"/>
  <c r="G49" i="1"/>
  <c r="H49" i="1" s="1"/>
  <c r="K48" i="1"/>
  <c r="L48" i="1" s="1"/>
  <c r="M48" i="1" s="1"/>
  <c r="I48" i="1"/>
  <c r="J48" i="1" s="1"/>
  <c r="G48" i="1"/>
  <c r="H48" i="1" s="1"/>
  <c r="K47" i="1"/>
  <c r="L47" i="1" s="1"/>
  <c r="M47" i="1" s="1"/>
  <c r="I47" i="1"/>
  <c r="J47" i="1" s="1"/>
  <c r="G47" i="1"/>
  <c r="H47" i="1" s="1"/>
  <c r="K46" i="1"/>
  <c r="L46" i="1" s="1"/>
  <c r="M46" i="1" s="1"/>
  <c r="I46" i="1"/>
  <c r="J46" i="1" s="1"/>
  <c r="G46" i="1"/>
  <c r="H46" i="1" s="1"/>
  <c r="K45" i="1"/>
  <c r="L45" i="1" s="1"/>
  <c r="M45" i="1" s="1"/>
  <c r="I45" i="1"/>
  <c r="J45" i="1" s="1"/>
  <c r="G45" i="1"/>
  <c r="H45" i="1" s="1"/>
  <c r="K44" i="1"/>
  <c r="L44" i="1" s="1"/>
  <c r="M44" i="1" s="1"/>
  <c r="I44" i="1"/>
  <c r="J44" i="1" s="1"/>
  <c r="G44" i="1"/>
  <c r="H44" i="1" s="1"/>
  <c r="K43" i="1"/>
  <c r="L43" i="1" s="1"/>
  <c r="M43" i="1" s="1"/>
  <c r="I43" i="1"/>
  <c r="J43" i="1" s="1"/>
  <c r="G43" i="1"/>
  <c r="H43" i="1" s="1"/>
  <c r="K42" i="1"/>
  <c r="L42" i="1" s="1"/>
  <c r="M42" i="1" s="1"/>
  <c r="I42" i="1"/>
  <c r="J42" i="1" s="1"/>
  <c r="G42" i="1"/>
  <c r="H42" i="1" s="1"/>
  <c r="K41" i="1"/>
  <c r="L41" i="1" s="1"/>
  <c r="M41" i="1" s="1"/>
  <c r="I41" i="1"/>
  <c r="J41" i="1" s="1"/>
  <c r="G41" i="1"/>
  <c r="H41" i="1" s="1"/>
  <c r="K40" i="1"/>
  <c r="L40" i="1" s="1"/>
  <c r="M40" i="1" s="1"/>
  <c r="I40" i="1"/>
  <c r="J40" i="1" s="1"/>
  <c r="G40" i="1"/>
  <c r="H40" i="1" s="1"/>
  <c r="K39" i="1"/>
  <c r="L39" i="1" s="1"/>
  <c r="M39" i="1" s="1"/>
  <c r="I39" i="1"/>
  <c r="J39" i="1" s="1"/>
  <c r="G39" i="1"/>
  <c r="H39" i="1" s="1"/>
  <c r="K38" i="1"/>
  <c r="L38" i="1" s="1"/>
  <c r="M38" i="1" s="1"/>
  <c r="I38" i="1"/>
  <c r="J38" i="1" s="1"/>
  <c r="G38" i="1"/>
  <c r="H38" i="1" s="1"/>
  <c r="K37" i="1"/>
  <c r="L37" i="1" s="1"/>
  <c r="M37" i="1" s="1"/>
  <c r="I37" i="1"/>
  <c r="J37" i="1" s="1"/>
  <c r="G37" i="1"/>
  <c r="H37" i="1" s="1"/>
  <c r="L36" i="1"/>
  <c r="M36" i="1" s="1"/>
  <c r="K36" i="1"/>
  <c r="I36" i="1"/>
  <c r="J36" i="1" s="1"/>
  <c r="G36" i="1"/>
  <c r="H36" i="1" s="1"/>
  <c r="K35" i="1"/>
  <c r="L35" i="1" s="1"/>
  <c r="M35" i="1" s="1"/>
  <c r="I35" i="1"/>
  <c r="J35" i="1" s="1"/>
  <c r="G35" i="1"/>
  <c r="H35" i="1" s="1"/>
  <c r="K34" i="1"/>
  <c r="L34" i="1" s="1"/>
  <c r="M34" i="1" s="1"/>
  <c r="I34" i="1"/>
  <c r="J34" i="1" s="1"/>
  <c r="G34" i="1"/>
  <c r="H34" i="1" s="1"/>
  <c r="K33" i="1"/>
  <c r="L33" i="1" s="1"/>
  <c r="M33" i="1" s="1"/>
  <c r="I33" i="1"/>
  <c r="J33" i="1" s="1"/>
  <c r="G33" i="1"/>
  <c r="H33" i="1" s="1"/>
  <c r="K32" i="1"/>
  <c r="L32" i="1" s="1"/>
  <c r="M32" i="1" s="1"/>
  <c r="I32" i="1"/>
  <c r="J32" i="1" s="1"/>
  <c r="G32" i="1"/>
  <c r="H32" i="1" s="1"/>
  <c r="K31" i="1"/>
  <c r="L31" i="1" s="1"/>
  <c r="M31" i="1" s="1"/>
  <c r="I31" i="1"/>
  <c r="J31" i="1" s="1"/>
  <c r="G31" i="1"/>
  <c r="H31" i="1" s="1"/>
  <c r="K30" i="1"/>
  <c r="L30" i="1" s="1"/>
  <c r="M30" i="1" s="1"/>
  <c r="I30" i="1"/>
  <c r="J30" i="1" s="1"/>
  <c r="G30" i="1"/>
  <c r="H30" i="1" s="1"/>
  <c r="K29" i="1"/>
  <c r="L29" i="1" s="1"/>
  <c r="M29" i="1" s="1"/>
  <c r="I29" i="1"/>
  <c r="J29" i="1" s="1"/>
  <c r="G29" i="1"/>
  <c r="H29" i="1" s="1"/>
  <c r="K28" i="1"/>
  <c r="L28" i="1" s="1"/>
  <c r="M28" i="1" s="1"/>
  <c r="I28" i="1"/>
  <c r="J28" i="1" s="1"/>
  <c r="G28" i="1"/>
  <c r="H28" i="1" s="1"/>
  <c r="K27" i="1"/>
  <c r="L27" i="1" s="1"/>
  <c r="M27" i="1" s="1"/>
  <c r="I27" i="1"/>
  <c r="J27" i="1" s="1"/>
  <c r="G27" i="1"/>
  <c r="H27" i="1" s="1"/>
  <c r="K26" i="1"/>
  <c r="L26" i="1" s="1"/>
  <c r="M26" i="1" s="1"/>
  <c r="J26" i="1"/>
  <c r="I26" i="1"/>
  <c r="G26" i="1"/>
  <c r="H26" i="1" s="1"/>
  <c r="K25" i="1"/>
  <c r="L25" i="1" s="1"/>
  <c r="M25" i="1" s="1"/>
  <c r="I25" i="1"/>
  <c r="J25" i="1" s="1"/>
  <c r="G25" i="1"/>
  <c r="H25" i="1" s="1"/>
  <c r="K24" i="1"/>
  <c r="L24" i="1" s="1"/>
  <c r="M24" i="1" s="1"/>
  <c r="I24" i="1"/>
  <c r="J24" i="1" s="1"/>
  <c r="G24" i="1"/>
  <c r="H24" i="1" s="1"/>
  <c r="K23" i="1"/>
  <c r="L23" i="1" s="1"/>
  <c r="M23" i="1" s="1"/>
  <c r="I23" i="1"/>
  <c r="J23" i="1" s="1"/>
  <c r="G23" i="1"/>
  <c r="H23" i="1" s="1"/>
  <c r="K22" i="1"/>
  <c r="L22" i="1" s="1"/>
  <c r="M22" i="1" s="1"/>
  <c r="I22" i="1"/>
  <c r="J22" i="1" s="1"/>
  <c r="G22" i="1"/>
  <c r="H22" i="1" s="1"/>
  <c r="K21" i="1"/>
  <c r="L21" i="1" s="1"/>
  <c r="M21" i="1" s="1"/>
  <c r="I21" i="1"/>
  <c r="J21" i="1" s="1"/>
  <c r="G21" i="1"/>
  <c r="H21" i="1" s="1"/>
  <c r="K20" i="1"/>
  <c r="L20" i="1" s="1"/>
  <c r="M20" i="1" s="1"/>
  <c r="I20" i="1"/>
  <c r="J20" i="1" s="1"/>
  <c r="G20" i="1"/>
  <c r="H20" i="1" s="1"/>
  <c r="K19" i="1"/>
  <c r="L19" i="1" s="1"/>
  <c r="M19" i="1" s="1"/>
  <c r="I19" i="1"/>
  <c r="J19" i="1" s="1"/>
  <c r="G19" i="1"/>
  <c r="H19" i="1" s="1"/>
  <c r="K18" i="1"/>
  <c r="L18" i="1" s="1"/>
  <c r="M18" i="1" s="1"/>
  <c r="I18" i="1"/>
  <c r="J18" i="1" s="1"/>
  <c r="G18" i="1"/>
  <c r="H18" i="1" s="1"/>
  <c r="K17" i="1"/>
  <c r="L17" i="1" s="1"/>
  <c r="M17" i="1" s="1"/>
  <c r="I17" i="1"/>
  <c r="J17" i="1" s="1"/>
  <c r="G17" i="1"/>
  <c r="H17" i="1" s="1"/>
  <c r="K16" i="1"/>
  <c r="L16" i="1" s="1"/>
  <c r="M16" i="1" s="1"/>
  <c r="I16" i="1"/>
  <c r="J16" i="1" s="1"/>
  <c r="G16" i="1"/>
  <c r="H16" i="1" s="1"/>
  <c r="K15" i="1"/>
  <c r="L15" i="1" s="1"/>
  <c r="M15" i="1" s="1"/>
  <c r="I15" i="1"/>
  <c r="J15" i="1" s="1"/>
  <c r="G15" i="1"/>
  <c r="H15" i="1" s="1"/>
  <c r="K14" i="1"/>
  <c r="L14" i="1" s="1"/>
  <c r="M14" i="1" s="1"/>
  <c r="I14" i="1"/>
  <c r="J14" i="1" s="1"/>
  <c r="G14" i="1"/>
  <c r="H14" i="1" s="1"/>
  <c r="K13" i="1"/>
  <c r="L13" i="1" s="1"/>
  <c r="M13" i="1" s="1"/>
  <c r="I13" i="1"/>
  <c r="J13" i="1" s="1"/>
  <c r="G13" i="1"/>
  <c r="H13" i="1" s="1"/>
  <c r="K12" i="1"/>
  <c r="L12" i="1" s="1"/>
  <c r="M12" i="1" s="1"/>
  <c r="I12" i="1"/>
  <c r="J12" i="1" s="1"/>
  <c r="G12" i="1"/>
  <c r="H12" i="1" s="1"/>
  <c r="K11" i="1"/>
  <c r="L11" i="1" s="1"/>
  <c r="M11" i="1" s="1"/>
  <c r="I11" i="1"/>
  <c r="J11" i="1" s="1"/>
  <c r="H11" i="1"/>
  <c r="G11" i="1"/>
  <c r="K10" i="1"/>
  <c r="L10" i="1" s="1"/>
  <c r="M10" i="1" s="1"/>
  <c r="I10" i="1"/>
  <c r="J10" i="1" s="1"/>
  <c r="G10" i="1"/>
  <c r="H10" i="1" s="1"/>
  <c r="K9" i="1"/>
  <c r="L9" i="1" s="1"/>
  <c r="M9" i="1" s="1"/>
  <c r="I9" i="1"/>
  <c r="J9" i="1" s="1"/>
  <c r="G9" i="1"/>
  <c r="H9" i="1" s="1"/>
  <c r="K8" i="1"/>
  <c r="L8" i="1" s="1"/>
  <c r="M8" i="1" s="1"/>
  <c r="J8" i="1"/>
  <c r="I8" i="1"/>
  <c r="G8" i="1"/>
  <c r="H8" i="1" s="1"/>
  <c r="K7" i="1"/>
  <c r="L7" i="1" s="1"/>
  <c r="M7" i="1" s="1"/>
  <c r="I7" i="1"/>
  <c r="J7" i="1" s="1"/>
  <c r="G7" i="1"/>
  <c r="H7" i="1" s="1"/>
  <c r="K6" i="1"/>
  <c r="L6" i="1" s="1"/>
  <c r="M6" i="1" s="1"/>
  <c r="I6" i="1"/>
  <c r="J6" i="1" s="1"/>
  <c r="G6" i="1"/>
  <c r="H6" i="1" s="1"/>
  <c r="L5" i="1"/>
  <c r="M5" i="1" s="1"/>
  <c r="K5" i="1"/>
  <c r="I5" i="1"/>
  <c r="J5" i="1" s="1"/>
  <c r="G5" i="1"/>
  <c r="H5" i="1" s="1"/>
  <c r="K4" i="1"/>
  <c r="L4" i="1" s="1"/>
  <c r="M4" i="1" s="1"/>
  <c r="I4" i="1"/>
  <c r="J4" i="1" s="1"/>
  <c r="G4" i="1"/>
  <c r="H4" i="1" s="1"/>
  <c r="N3" i="1"/>
  <c r="L3" i="1"/>
  <c r="M3" i="1" s="1"/>
  <c r="I3" i="1"/>
  <c r="J3" i="1" s="1"/>
  <c r="G3" i="1"/>
  <c r="H3" i="1" s="1"/>
</calcChain>
</file>

<file path=xl/sharedStrings.xml><?xml version="1.0" encoding="utf-8"?>
<sst xmlns="http://schemas.openxmlformats.org/spreadsheetml/2006/main" count="2118" uniqueCount="517">
  <si>
    <t>Ct</t>
  </si>
  <si>
    <t>% Inhibition</t>
  </si>
  <si>
    <t>Quantification Crassphage</t>
  </si>
  <si>
    <t>Quantification mtDNA</t>
  </si>
  <si>
    <t>Quantification HPV ( prise en compte de la LOQ)</t>
  </si>
  <si>
    <t>Date</t>
  </si>
  <si>
    <t>HPV</t>
  </si>
  <si>
    <t>Crassphage</t>
  </si>
  <si>
    <t>mtDNA</t>
  </si>
  <si>
    <t>cp/µL</t>
  </si>
  <si>
    <t>cp/L</t>
  </si>
  <si>
    <t>nb de copies</t>
  </si>
  <si>
    <t>Fr-Paris SC-24_01_2024</t>
  </si>
  <si>
    <t xml:space="preserve">modélisable </t>
  </si>
  <si>
    <t>Fr-Paris SC-28_01_2024</t>
  </si>
  <si>
    <t>de détection</t>
  </si>
  <si>
    <t>Fr-Paris SC-31_01_2024</t>
  </si>
  <si>
    <t>Fr-Paris SC-04_02_2024</t>
  </si>
  <si>
    <t>Fr-Paris SC-07_02_2024</t>
  </si>
  <si>
    <t>Fr-Paris SC-11_02_2024</t>
  </si>
  <si>
    <t>Fr-Paris SC-18_02_2024</t>
  </si>
  <si>
    <t>Fr-Paris SC-21_02_2024</t>
  </si>
  <si>
    <t>Fr-Paris SC-25_02_2024</t>
  </si>
  <si>
    <t>Fr-Paris SC-28_02_2024</t>
  </si>
  <si>
    <t>Fr-Paris SC-03_03_2024</t>
  </si>
  <si>
    <t>Fr-Paris SC-06_03_2024</t>
  </si>
  <si>
    <t>Fr-Paris SC-10_03_2024</t>
  </si>
  <si>
    <t>Fr-Paris SC-17_03_2024</t>
  </si>
  <si>
    <t>Fr-Paris SC-20_03_2024</t>
  </si>
  <si>
    <t>Fr-Paris SC-24_03_2024</t>
  </si>
  <si>
    <t>Fr-Paris SC-27_03_2024</t>
  </si>
  <si>
    <t>Fr-Paris SC-31_03_2024</t>
  </si>
  <si>
    <t>Fr-Paris SC-03_04_2024</t>
  </si>
  <si>
    <t>Fr-Paris SC-07_04_2024</t>
  </si>
  <si>
    <t>Fr-Paris SC-10_04_2024</t>
  </si>
  <si>
    <t>Fr-Paris SC-14_04_2024</t>
  </si>
  <si>
    <t>Fr-Paris SC-17_04_2024</t>
  </si>
  <si>
    <t>Fr-Paris SC-21_04_2024</t>
  </si>
  <si>
    <t>Fr-Paris SC-24_04_2024</t>
  </si>
  <si>
    <t>Fr-Paris SC-28_04_2024</t>
  </si>
  <si>
    <t>Fr-Paris SC-01_05_2024</t>
  </si>
  <si>
    <t>Fr-Paris SC-05_05_2024</t>
  </si>
  <si>
    <t>Fr-Paris SC-15_05_2024</t>
  </si>
  <si>
    <t>Fr-Paris SC-19_05_2024</t>
  </si>
  <si>
    <t>Fr-Paris SC-22_05_2024</t>
  </si>
  <si>
    <t>Fr-Paris SC-26_05_2024</t>
  </si>
  <si>
    <t>Fr-Paris SC-29_05_2024</t>
  </si>
  <si>
    <t>Fr-Paris SC-05_06_2024</t>
  </si>
  <si>
    <t>Fr-Paris SC-09_06_2024</t>
  </si>
  <si>
    <t>Fr-Paris SC-12_06_2024</t>
  </si>
  <si>
    <t>Fr-Paris SC-16_06_2024</t>
  </si>
  <si>
    <t>Fr-Paris SC-19_06_2024</t>
  </si>
  <si>
    <t>Fr-Paris SC-23_06_2024</t>
  </si>
  <si>
    <t>Fr-Paris SC-26_06_2024</t>
  </si>
  <si>
    <t>Fr-Paris SC-30_06_2024</t>
  </si>
  <si>
    <t>Fr-Paris SC-03_07_2024</t>
  </si>
  <si>
    <t>03/07/2024</t>
  </si>
  <si>
    <t>Fr-Paris SC-07_07_2024</t>
  </si>
  <si>
    <t>Fr-Paris SC-10_07_2024</t>
  </si>
  <si>
    <t>Fr-Paris SC-11_07_2024</t>
  </si>
  <si>
    <t>Fr-Paris SC-17_07_2024</t>
  </si>
  <si>
    <t>Fr-Paris SC-21_07_2024</t>
  </si>
  <si>
    <t>Fr-Paris SC-24_07_2024</t>
  </si>
  <si>
    <t>Fr-Paris SC-28_07_2024</t>
  </si>
  <si>
    <t>Fr-Paris SC-04_08_2024</t>
  </si>
  <si>
    <t>Fr-Paris SC-07_08_2024</t>
  </si>
  <si>
    <t>Fr-Paris SC-10_08_2024</t>
  </si>
  <si>
    <t>10/08/2024</t>
  </si>
  <si>
    <t>Fr-Paris SC-11_08_2024</t>
  </si>
  <si>
    <t>Fr-Paris SC-14_08_2024</t>
  </si>
  <si>
    <t>14/08/2024</t>
  </si>
  <si>
    <t>Fr-Paris SC-21_08_2024</t>
  </si>
  <si>
    <t>Fr-Paris SC-25_08_2024</t>
  </si>
  <si>
    <t>25/08/2024</t>
  </si>
  <si>
    <t>Fr-Paris SC-01_09_2024</t>
  </si>
  <si>
    <t>01/09/2024</t>
  </si>
  <si>
    <t>Fr-Paris SC-04_09_2024</t>
  </si>
  <si>
    <t>04/09/2024</t>
  </si>
  <si>
    <t>Fr-Paris SC-08_09_2024</t>
  </si>
  <si>
    <t>Fr-Paris SC-11_09_2024</t>
  </si>
  <si>
    <t>Fr-Paris SC-15_09_2024</t>
  </si>
  <si>
    <t>Fr-Paris SC-18_09_2024</t>
  </si>
  <si>
    <t>18/09/2024</t>
  </si>
  <si>
    <t>Fr-Paris SC-22_09_2024</t>
  </si>
  <si>
    <t>Fr-Paris SC-25_09_2024</t>
  </si>
  <si>
    <t>Fr-Paris SC-29_09_2024</t>
  </si>
  <si>
    <t>Fr-Paris SC-02_10_2024</t>
  </si>
  <si>
    <t>Fr-Paris SC-06_10_2024</t>
  </si>
  <si>
    <t>Fr-Paris SC-09_10_2024</t>
  </si>
  <si>
    <t>Fr-Paris SC-13_10_2024</t>
  </si>
  <si>
    <t>Fr-Paris SC-16_10_2024</t>
  </si>
  <si>
    <t>16/10/2024</t>
  </si>
  <si>
    <t>Fr-Paris SC-20_10_2024</t>
  </si>
  <si>
    <t>Fr-Paris SC-23_10_2024</t>
  </si>
  <si>
    <t>Fr-Paris SC-27_10_2024</t>
  </si>
  <si>
    <t>Fr-Paris SC-30_10_2024</t>
  </si>
  <si>
    <t>Fr-Paris SC-03_11_2024</t>
  </si>
  <si>
    <t>03/11/2024</t>
  </si>
  <si>
    <t>Fr-Paris SC-06_11_2024</t>
  </si>
  <si>
    <t>06/11/2024</t>
  </si>
  <si>
    <t>Fr-Paris SC-10_11_2024</t>
  </si>
  <si>
    <t>10/11/2024</t>
  </si>
  <si>
    <t>Fr-Paris SC-13_11_2024</t>
  </si>
  <si>
    <t>Fr-Paris SC-17_11_2024</t>
  </si>
  <si>
    <t>Fr-Paris SC-20_11_2024</t>
  </si>
  <si>
    <t>20/11/2024</t>
  </si>
  <si>
    <t>Fr-Paris SC-24_11_2024</t>
  </si>
  <si>
    <t>24/11/2024</t>
  </si>
  <si>
    <t>Fr-Paris SC-27_11_2024</t>
  </si>
  <si>
    <t>Fr-Paris SC-01_12_2024</t>
  </si>
  <si>
    <t>01/12/2024</t>
  </si>
  <si>
    <t>Fr-Paris SC-04_12_2024</t>
  </si>
  <si>
    <t>04/12/2024</t>
  </si>
  <si>
    <t>Fr-Paris SC-08_12_2024</t>
  </si>
  <si>
    <t>08/12/2024</t>
  </si>
  <si>
    <t>Fr-Paris SC-11_12_2024</t>
  </si>
  <si>
    <t>Fr-Paris SC-15_12_2024</t>
  </si>
  <si>
    <t>15/12/2024</t>
  </si>
  <si>
    <t>Fr-Paris SC-18_12_2024</t>
  </si>
  <si>
    <t>18/12/2024</t>
  </si>
  <si>
    <t>Fr-Paris SC-22_12_2024</t>
  </si>
  <si>
    <t>22/12/2024</t>
  </si>
  <si>
    <t>Fr-Paris SC-25_12_2024</t>
  </si>
  <si>
    <t>Fr-Paris SC-29_12_2024</t>
  </si>
  <si>
    <t>29/12/2024</t>
  </si>
  <si>
    <t>Fr-Paris SC-01_01_2025</t>
  </si>
  <si>
    <t>01/01/2025</t>
  </si>
  <si>
    <t>Fr-Paris SC-05_01_2025</t>
  </si>
  <si>
    <t>05/01/2025</t>
  </si>
  <si>
    <t>Fr-Paris SC-08_01_2025</t>
  </si>
  <si>
    <t>Fr-Paris SC-12_01_2025</t>
  </si>
  <si>
    <t>Fr-Paris SC-15_01_2025</t>
  </si>
  <si>
    <t>15/01/2025</t>
  </si>
  <si>
    <t>Fr-Paris SC-19_01_2025</t>
  </si>
  <si>
    <t>Fr-Paris SC-22_01_2025</t>
  </si>
  <si>
    <t>Fr-Paris SC-26_01_2025</t>
  </si>
  <si>
    <t>26/01/2025</t>
  </si>
  <si>
    <t>Fr-Paris SC-29_01_2025</t>
  </si>
  <si>
    <t>Essai 1</t>
  </si>
  <si>
    <t>Essai 2</t>
  </si>
  <si>
    <t>copies</t>
  </si>
  <si>
    <t>Echantillon</t>
  </si>
  <si>
    <t>HPV 66 (réplicat 1)</t>
  </si>
  <si>
    <t>HPV 66 (réplicat 2)</t>
  </si>
  <si>
    <r>
      <rPr>
        <b/>
        <sz val="9"/>
        <color theme="1"/>
        <rFont val="Symbol"/>
        <family val="1"/>
        <charset val="2"/>
      </rPr>
      <t>D</t>
    </r>
    <r>
      <rPr>
        <b/>
        <sz val="9"/>
        <color theme="1"/>
        <rFont val="Times New Roman"/>
        <family val="1"/>
      </rPr>
      <t>Ct</t>
    </r>
  </si>
  <si>
    <t>copies essai 1</t>
  </si>
  <si>
    <t>copies/µL</t>
  </si>
  <si>
    <t>copies/L</t>
  </si>
  <si>
    <t>LOQ</t>
  </si>
  <si>
    <t xml:space="preserve">38 modélisables sur 79 </t>
  </si>
  <si>
    <t>6 (réplicat 1)</t>
  </si>
  <si>
    <t>6 (réplicat 2)</t>
  </si>
  <si>
    <t>copies essai 2</t>
  </si>
  <si>
    <t>mercredi 4 décembre 2024</t>
  </si>
  <si>
    <t>dimanche 8 décembre 2024</t>
  </si>
  <si>
    <t>mercredi 11 décembre 2024</t>
  </si>
  <si>
    <t>dimanche 15 décembre 2024</t>
  </si>
  <si>
    <t>mercredi 18 décembre 2024</t>
  </si>
  <si>
    <t>dimanche 22 décembre 2024</t>
  </si>
  <si>
    <t>mercredi 25 décembre 2024</t>
  </si>
  <si>
    <t>dimanche 29 décembre 2024</t>
  </si>
  <si>
    <t>mercredi 1 janvier 2025</t>
  </si>
  <si>
    <t>dimanche 5 janvier 2025</t>
  </si>
  <si>
    <t>mercredi 8 janvier 2025</t>
  </si>
  <si>
    <t>dimanche 12 janvier 2025</t>
  </si>
  <si>
    <t>mercredi 15 janvier 2025</t>
  </si>
  <si>
    <t>dimanche 19 janvier 2025</t>
  </si>
  <si>
    <t>mercredi 22 janvier 2025</t>
  </si>
  <si>
    <t>dimanche 26 janvier 2025</t>
  </si>
  <si>
    <t>mercredi 29 janvier 2025</t>
  </si>
  <si>
    <t>dimanche 2 février 2025</t>
  </si>
  <si>
    <t>mercredi 5 février 2025</t>
  </si>
  <si>
    <t>dimanche 9 février 2025</t>
  </si>
  <si>
    <t>mercredi 12 février 2025</t>
  </si>
  <si>
    <t>dimanche 16 février 2025</t>
  </si>
  <si>
    <t>mercredi 19 février 2025</t>
  </si>
  <si>
    <t>dimanche 23 février 2025</t>
  </si>
  <si>
    <t>mercredi 26 février 2025</t>
  </si>
  <si>
    <t>Date du prélèvement</t>
  </si>
  <si>
    <r>
      <t>Débit en entrée de Seine Centre (m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</si>
  <si>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Volume Prétraité 
Bassins de Clichy (m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)</t>
    </r>
  </si>
  <si>
    <t>Ammonium</t>
  </si>
  <si>
    <t>34.2</t>
  </si>
  <si>
    <t>0.3</t>
  </si>
  <si>
    <t>mg(N)/L</t>
  </si>
  <si>
    <t>Ammonium recalculé</t>
  </si>
  <si>
    <t>0.386</t>
  </si>
  <si>
    <t>mg(NH4)/L</t>
  </si>
  <si>
    <t>AZOTE KJELDAHL</t>
  </si>
  <si>
    <t>47.1</t>
  </si>
  <si>
    <t>0.50</t>
  </si>
  <si>
    <t>COT (thermique)</t>
  </si>
  <si>
    <t>mg C / L</t>
  </si>
  <si>
    <t>dbo n</t>
  </si>
  <si>
    <t>1.00</t>
  </si>
  <si>
    <t>mg(O2)/L</t>
  </si>
  <si>
    <t>Heure d'arrivée</t>
  </si>
  <si>
    <t>-</t>
  </si>
  <si>
    <t>Matières en Suspension</t>
  </si>
  <si>
    <t>mg/L</t>
  </si>
  <si>
    <t>NGL calculé</t>
  </si>
  <si>
    <t>0.92</t>
  </si>
  <si>
    <t>Nitrate</t>
  </si>
  <si>
    <t>&lt;0.40</t>
  </si>
  <si>
    <t>0.40</t>
  </si>
  <si>
    <t>Nitrate recalculé</t>
  </si>
  <si>
    <t>&lt;1.77</t>
  </si>
  <si>
    <t>1.7714</t>
  </si>
  <si>
    <t>mg(NO3)/L</t>
  </si>
  <si>
    <t>Nitrite</t>
  </si>
  <si>
    <t>0.03</t>
  </si>
  <si>
    <t>0.02</t>
  </si>
  <si>
    <t>Nitrite recalculé</t>
  </si>
  <si>
    <t>0.11</t>
  </si>
  <si>
    <t>.0657</t>
  </si>
  <si>
    <t>mg(NO2)/L</t>
  </si>
  <si>
    <t>Orthophosphate</t>
  </si>
  <si>
    <t>2.4</t>
  </si>
  <si>
    <t>0.1</t>
  </si>
  <si>
    <t>mg(P)/L</t>
  </si>
  <si>
    <t>pH</t>
  </si>
  <si>
    <t>8.01</t>
  </si>
  <si>
    <t>unité pH</t>
  </si>
  <si>
    <t>Phosphore total</t>
  </si>
  <si>
    <t>4.8</t>
  </si>
  <si>
    <t>ST-DCO</t>
  </si>
  <si>
    <t>Température de mesure du pH</t>
  </si>
  <si>
    <t>°C</t>
  </si>
  <si>
    <t>Température échantillon à réception</t>
  </si>
  <si>
    <t>36.8</t>
  </si>
  <si>
    <t>47.3</t>
  </si>
  <si>
    <t>50.7</t>
  </si>
  <si>
    <t>50.8</t>
  </si>
  <si>
    <t>0.04</t>
  </si>
  <si>
    <t>0.12</t>
  </si>
  <si>
    <t>2.6</t>
  </si>
  <si>
    <t>8.02</t>
  </si>
  <si>
    <t>5.4</t>
  </si>
  <si>
    <t>21.2</t>
  </si>
  <si>
    <t>6.3</t>
  </si>
  <si>
    <t>24.1</t>
  </si>
  <si>
    <t>36.5</t>
  </si>
  <si>
    <t>38.2</t>
  </si>
  <si>
    <t>1.1</t>
  </si>
  <si>
    <t>4.65</t>
  </si>
  <si>
    <t>0.68</t>
  </si>
  <si>
    <t>2.2</t>
  </si>
  <si>
    <t>1.8</t>
  </si>
  <si>
    <t>7.99</t>
  </si>
  <si>
    <t>3.6</t>
  </si>
  <si>
    <t>19.4</t>
  </si>
  <si>
    <t>5.5</t>
  </si>
  <si>
    <t>34.4</t>
  </si>
  <si>
    <t>44.2</t>
  </si>
  <si>
    <t>47.4</t>
  </si>
  <si>
    <t>47.8</t>
  </si>
  <si>
    <t>0.44</t>
  </si>
  <si>
    <t>1.5</t>
  </si>
  <si>
    <t>2.5</t>
  </si>
  <si>
    <t>8.12</t>
  </si>
  <si>
    <t>4.9</t>
  </si>
  <si>
    <t>19.2</t>
  </si>
  <si>
    <t>6.2</t>
  </si>
  <si>
    <t>33.5</t>
  </si>
  <si>
    <t>43.1</t>
  </si>
  <si>
    <t>49.8</t>
  </si>
  <si>
    <t>Entérocoques intestinaux</t>
  </si>
  <si>
    <t>NPP/100mL</t>
  </si>
  <si>
    <t xml:space="preserve">Escherichia coli </t>
  </si>
  <si>
    <t>49.9</t>
  </si>
  <si>
    <t>0.05</t>
  </si>
  <si>
    <t>0.17</t>
  </si>
  <si>
    <t>7.72</t>
  </si>
  <si>
    <t>5.1</t>
  </si>
  <si>
    <t>Spores de micro-organismes anaérobies sulfito-réducteurs</t>
  </si>
  <si>
    <t>UFC/100mL</t>
  </si>
  <si>
    <t>18.5</t>
  </si>
  <si>
    <t>34.3</t>
  </si>
  <si>
    <t>44.1</t>
  </si>
  <si>
    <t>45.3</t>
  </si>
  <si>
    <t>45.5</t>
  </si>
  <si>
    <t>0.21</t>
  </si>
  <si>
    <t>0.67</t>
  </si>
  <si>
    <t>4.6</t>
  </si>
  <si>
    <t>16.1</t>
  </si>
  <si>
    <t>5.9</t>
  </si>
  <si>
    <t>14.6</t>
  </si>
  <si>
    <t>18.8</t>
  </si>
  <si>
    <t>21.5</t>
  </si>
  <si>
    <t>9.92</t>
  </si>
  <si>
    <t>0.38</t>
  </si>
  <si>
    <t>1.3</t>
  </si>
  <si>
    <t>1.2</t>
  </si>
  <si>
    <t>8.08</t>
  </si>
  <si>
    <t>4.1</t>
  </si>
  <si>
    <t>29.3</t>
  </si>
  <si>
    <t>37.6</t>
  </si>
  <si>
    <t>38.5</t>
  </si>
  <si>
    <t>39.7</t>
  </si>
  <si>
    <t>0.51</t>
  </si>
  <si>
    <t>2.26</t>
  </si>
  <si>
    <t>0.73</t>
  </si>
  <si>
    <t>8.09</t>
  </si>
  <si>
    <t>16.5</t>
  </si>
  <si>
    <t>31.2</t>
  </si>
  <si>
    <t>40.1</t>
  </si>
  <si>
    <t>45.8</t>
  </si>
  <si>
    <t>0.27</t>
  </si>
  <si>
    <t>0.9</t>
  </si>
  <si>
    <t>4.5</t>
  </si>
  <si>
    <t>17.4</t>
  </si>
  <si>
    <t>29.9</t>
  </si>
  <si>
    <t>42.4</t>
  </si>
  <si>
    <t>43.2</t>
  </si>
  <si>
    <t>0.5</t>
  </si>
  <si>
    <t>2.21</t>
  </si>
  <si>
    <t>7.96</t>
  </si>
  <si>
    <t>Acidification</t>
  </si>
  <si>
    <t>fait</t>
  </si>
  <si>
    <t>21.1</t>
  </si>
  <si>
    <t>27.1</t>
  </si>
  <si>
    <t>37.2</t>
  </si>
  <si>
    <t>2.3</t>
  </si>
  <si>
    <t>10.14</t>
  </si>
  <si>
    <t>0.57</t>
  </si>
  <si>
    <t>1.9</t>
  </si>
  <si>
    <t>1.6</t>
  </si>
  <si>
    <t>8.15</t>
  </si>
  <si>
    <t>3.4</t>
  </si>
  <si>
    <t>18.3</t>
  </si>
  <si>
    <t>24.9</t>
  </si>
  <si>
    <t>31.5</t>
  </si>
  <si>
    <t>33.8</t>
  </si>
  <si>
    <t>7.79</t>
  </si>
  <si>
    <t>0.45</t>
  </si>
  <si>
    <t>7.98</t>
  </si>
  <si>
    <t>3.5</t>
  </si>
  <si>
    <t>26.9</t>
  </si>
  <si>
    <t>34.5</t>
  </si>
  <si>
    <t>38.8</t>
  </si>
  <si>
    <t>40.4</t>
  </si>
  <si>
    <t>0.8</t>
  </si>
  <si>
    <t>3.54</t>
  </si>
  <si>
    <t>0.83</t>
  </si>
  <si>
    <t>2.7</t>
  </si>
  <si>
    <t>7.97</t>
  </si>
  <si>
    <t>3.8</t>
  </si>
  <si>
    <t>5.3</t>
  </si>
  <si>
    <t>Acénaphtène</t>
  </si>
  <si>
    <t>&lt;0.010</t>
  </si>
  <si>
    <t>0.0100</t>
  </si>
  <si>
    <t>µg/L</t>
  </si>
  <si>
    <t>Alcalinité (TAC)</t>
  </si>
  <si>
    <t>mg(CaCO3)/L</t>
  </si>
  <si>
    <t>Aluminium</t>
  </si>
  <si>
    <t>41.2</t>
  </si>
  <si>
    <t>Anthracène</t>
  </si>
  <si>
    <t>AOX</t>
  </si>
  <si>
    <t>µg(Cl)/L</t>
  </si>
  <si>
    <t>Argent</t>
  </si>
  <si>
    <t>&lt;0.04</t>
  </si>
  <si>
    <t>Arsenic</t>
  </si>
  <si>
    <t>&lt;2.5</t>
  </si>
  <si>
    <t>2.50</t>
  </si>
  <si>
    <t>45.6</t>
  </si>
  <si>
    <t>Benzo[a]anthracène</t>
  </si>
  <si>
    <t>Benzo[a]pyrène</t>
  </si>
  <si>
    <t>0.011</t>
  </si>
  <si>
    <t>Benzo[b]fluoranthène</t>
  </si>
  <si>
    <t>Benzo[g,h,i]perylène</t>
  </si>
  <si>
    <t>Benzo[k]fluoranthène</t>
  </si>
  <si>
    <t>Cadmium</t>
  </si>
  <si>
    <t>0.2</t>
  </si>
  <si>
    <t>Chlorures</t>
  </si>
  <si>
    <t>5.00</t>
  </si>
  <si>
    <t>mg(Cl)/L</t>
  </si>
  <si>
    <t>Chrome</t>
  </si>
  <si>
    <t>&lt;5.0</t>
  </si>
  <si>
    <t>Chrysène</t>
  </si>
  <si>
    <t>Cobalt</t>
  </si>
  <si>
    <t>&lt;1.0</t>
  </si>
  <si>
    <t>Cuivre</t>
  </si>
  <si>
    <t>67.3</t>
  </si>
  <si>
    <t>Dibenzo[ah]anthracène</t>
  </si>
  <si>
    <t>Etain</t>
  </si>
  <si>
    <t>Fer</t>
  </si>
  <si>
    <t>0.025</t>
  </si>
  <si>
    <t>Fluoranthène</t>
  </si>
  <si>
    <t>0.034</t>
  </si>
  <si>
    <t>Fluorène</t>
  </si>
  <si>
    <t>0.017</t>
  </si>
  <si>
    <t>Indéno[1,2,3,c,d]pyrène</t>
  </si>
  <si>
    <t>Indice hydrocarbure</t>
  </si>
  <si>
    <t>0.198</t>
  </si>
  <si>
    <t>Manganèse</t>
  </si>
  <si>
    <t>0.005</t>
  </si>
  <si>
    <t>Mercure</t>
  </si>
  <si>
    <t>&lt;0.2</t>
  </si>
  <si>
    <t>Naphtalène</t>
  </si>
  <si>
    <t>0.0299</t>
  </si>
  <si>
    <t>Nickel</t>
  </si>
  <si>
    <t>PCB 101</t>
  </si>
  <si>
    <t>&lt;0.005</t>
  </si>
  <si>
    <t>0.0045</t>
  </si>
  <si>
    <t>PCB 118</t>
  </si>
  <si>
    <t>PCB 138</t>
  </si>
  <si>
    <t>PCB 153</t>
  </si>
  <si>
    <t>PCB 180</t>
  </si>
  <si>
    <t>PCB 28</t>
  </si>
  <si>
    <t>PCB 52</t>
  </si>
  <si>
    <t>Phénanthrène</t>
  </si>
  <si>
    <t>0.057</t>
  </si>
  <si>
    <t>Plomb</t>
  </si>
  <si>
    <t>7.7</t>
  </si>
  <si>
    <t>Prélèvement AOX</t>
  </si>
  <si>
    <t>Prélèvement Chlorure - Sulfate</t>
  </si>
  <si>
    <t>Pyrène</t>
  </si>
  <si>
    <t>0.024</t>
  </si>
  <si>
    <t xml:space="preserve">Somme 15 HAP </t>
  </si>
  <si>
    <t>0.28</t>
  </si>
  <si>
    <t>0.1699</t>
  </si>
  <si>
    <t>Somme 7 PCB</t>
  </si>
  <si>
    <t>&lt;0.032</t>
  </si>
  <si>
    <t>0.0315</t>
  </si>
  <si>
    <t>Sulfate</t>
  </si>
  <si>
    <t>mg(SO4)/L</t>
  </si>
  <si>
    <t>20.2</t>
  </si>
  <si>
    <t>Zinc</t>
  </si>
  <si>
    <t>20.00</t>
  </si>
  <si>
    <t>32.1</t>
  </si>
  <si>
    <t>41.3</t>
  </si>
  <si>
    <t>44.9</t>
  </si>
  <si>
    <t>45.1</t>
  </si>
  <si>
    <t>0.16</t>
  </si>
  <si>
    <t>0.54</t>
  </si>
  <si>
    <t>4.7</t>
  </si>
  <si>
    <t>18.9</t>
  </si>
  <si>
    <t>24.2</t>
  </si>
  <si>
    <t>31.1</t>
  </si>
  <si>
    <t>37.1</t>
  </si>
  <si>
    <t>38.4</t>
  </si>
  <si>
    <t>0.85</t>
  </si>
  <si>
    <t>3.76</t>
  </si>
  <si>
    <t>0.41</t>
  </si>
  <si>
    <t>7.92</t>
  </si>
  <si>
    <t>4.2</t>
  </si>
  <si>
    <t>19.7</t>
  </si>
  <si>
    <t>23.6</t>
  </si>
  <si>
    <t>30.4</t>
  </si>
  <si>
    <t>35.3</t>
  </si>
  <si>
    <t>37.9</t>
  </si>
  <si>
    <t>1.7</t>
  </si>
  <si>
    <t>7.53</t>
  </si>
  <si>
    <t>2.8</t>
  </si>
  <si>
    <t>23.1</t>
  </si>
  <si>
    <t>29.7</t>
  </si>
  <si>
    <t>35.4</t>
  </si>
  <si>
    <t>5.09</t>
  </si>
  <si>
    <t>0.63</t>
  </si>
  <si>
    <t>2.1</t>
  </si>
  <si>
    <t>8.03</t>
  </si>
  <si>
    <t>41.1</t>
  </si>
  <si>
    <t>44.8</t>
  </si>
  <si>
    <t>0.29</t>
  </si>
  <si>
    <t>0.96</t>
  </si>
  <si>
    <t>4.4</t>
  </si>
  <si>
    <t>5.7</t>
  </si>
  <si>
    <t>51.9</t>
  </si>
  <si>
    <t>0.31</t>
  </si>
  <si>
    <t>19.6</t>
  </si>
  <si>
    <t>29.8</t>
  </si>
  <si>
    <t>38.3</t>
  </si>
  <si>
    <t>43.7</t>
  </si>
  <si>
    <t>0.69</t>
  </si>
  <si>
    <t>3.06</t>
  </si>
  <si>
    <t>8.04</t>
  </si>
  <si>
    <t>18.2</t>
  </si>
  <si>
    <t>49.4</t>
  </si>
  <si>
    <t>63.4</t>
  </si>
  <si>
    <t>0.55</t>
  </si>
  <si>
    <t>2.44</t>
  </si>
  <si>
    <t>0.87</t>
  </si>
  <si>
    <t>2.9</t>
  </si>
  <si>
    <t>8.19</t>
  </si>
  <si>
    <t>7.5</t>
  </si>
  <si>
    <t>5.6</t>
  </si>
  <si>
    <t>33.1</t>
  </si>
  <si>
    <t>42.5</t>
  </si>
  <si>
    <t>0.53</t>
  </si>
  <si>
    <t>18.7</t>
  </si>
  <si>
    <t>4.3</t>
  </si>
  <si>
    <t>51.7</t>
  </si>
  <si>
    <t>0.71</t>
  </si>
  <si>
    <t>8.07</t>
  </si>
  <si>
    <t>5.2</t>
  </si>
  <si>
    <t>18.1</t>
  </si>
  <si>
    <t>42.1</t>
  </si>
  <si>
    <t>42.6</t>
  </si>
  <si>
    <t>24.3</t>
  </si>
  <si>
    <t>12.84</t>
  </si>
  <si>
    <t>5.8</t>
  </si>
  <si>
    <t>25 modélisables sur 61</t>
  </si>
  <si>
    <t>%</t>
  </si>
  <si>
    <t>Analyses</t>
  </si>
  <si>
    <t>NTK</t>
  </si>
  <si>
    <t>DBO diluée</t>
  </si>
  <si>
    <t>Paramètres</t>
  </si>
  <si>
    <t>Azote Kjeldahl</t>
  </si>
  <si>
    <t>COT</t>
  </si>
  <si>
    <t>Matières en suspension</t>
  </si>
  <si>
    <t>Nitrates</t>
  </si>
  <si>
    <t>Nitrites</t>
  </si>
  <si>
    <t>Orthophosphates</t>
  </si>
  <si>
    <t>Phosphore</t>
  </si>
  <si>
    <t>Température échantillon</t>
  </si>
  <si>
    <t>LQ</t>
  </si>
  <si>
    <t>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</si>
</sst>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[$-F800]dddd\,\ mmmm\ dd\,\ yyyy"/>
    <numFmt numFmtId="166" formatCode="0.0%"/>
    <numFmt numFmtId="167" formatCode="0.000"/>
    <numFmt numFmtId="176" formatCode="0.0"/>
  </numFmts>
  <fonts count="2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b/>
      <sz val="11"/>
      <color rgb="FFFF0000"/>
      <name val="Aptos Narrow"/>
      <family val="2"/>
      <scheme val="minor"/>
    </font>
    <font>
      <sz val="9"/>
      <color rgb="FF595959"/>
      <name val="Aptos Narrow"/>
    </font>
    <font>
      <sz val="9"/>
      <color theme="1"/>
      <name val="Aptos Narrow"/>
      <family val="2"/>
      <scheme val="minor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1F497D"/>
      <name val="Calibri"/>
      <family val="2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 (Corps)"/>
    </font>
    <font>
      <b/>
      <sz val="11"/>
      <color rgb="FF1F497D"/>
      <name val="Aptos Narrow"/>
      <family val="2"/>
      <scheme val="minor"/>
    </font>
    <font>
      <sz val="10"/>
      <color rgb="FF000000"/>
      <name val="Helvetica"/>
      <family val="2"/>
    </font>
    <font>
      <b/>
      <sz val="12"/>
      <color rgb="FFFF0000"/>
      <name val="Times New Roman"/>
      <family val="1"/>
    </font>
    <font>
      <b/>
      <sz val="12"/>
      <color rgb="FFFF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5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0" xfId="0" applyFont="1"/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left"/>
    </xf>
    <xf numFmtId="14" fontId="2" fillId="0" borderId="7" xfId="0" applyNumberFormat="1" applyFont="1" applyBorder="1"/>
    <xf numFmtId="164" fontId="5" fillId="0" borderId="7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6" fontId="5" fillId="0" borderId="8" xfId="0" applyNumberFormat="1" applyFont="1" applyBorder="1" applyAlignment="1" applyProtection="1">
      <alignment horizontal="center" vertical="center"/>
      <protection locked="0"/>
    </xf>
    <xf numFmtId="11" fontId="2" fillId="0" borderId="9" xfId="0" applyNumberFormat="1" applyFont="1" applyBorder="1"/>
    <xf numFmtId="11" fontId="5" fillId="3" borderId="7" xfId="0" applyNumberFormat="1" applyFont="1" applyFill="1" applyBorder="1" applyAlignment="1">
      <alignment horizontal="center" vertical="center"/>
    </xf>
    <xf numFmtId="11" fontId="2" fillId="0" borderId="7" xfId="0" applyNumberFormat="1" applyFont="1" applyBorder="1"/>
    <xf numFmtId="11" fontId="5" fillId="3" borderId="7" xfId="0" applyNumberFormat="1" applyFont="1" applyFill="1" applyBorder="1" applyAlignment="1" applyProtection="1">
      <alignment horizontal="center" vertical="center"/>
      <protection locked="0"/>
    </xf>
    <xf numFmtId="11" fontId="6" fillId="0" borderId="7" xfId="0" applyNumberFormat="1" applyFont="1" applyBorder="1" applyAlignment="1">
      <alignment horizontal="center" vertical="center" readingOrder="1"/>
    </xf>
    <xf numFmtId="11" fontId="2" fillId="3" borderId="7" xfId="0" applyNumberFormat="1" applyFont="1" applyFill="1" applyBorder="1"/>
    <xf numFmtId="10" fontId="7" fillId="0" borderId="0" xfId="0" applyNumberFormat="1" applyFont="1"/>
    <xf numFmtId="11" fontId="7" fillId="0" borderId="0" xfId="0" applyNumberFormat="1" applyFont="1"/>
    <xf numFmtId="9" fontId="7" fillId="0" borderId="0" xfId="0" applyNumberFormat="1" applyFont="1"/>
    <xf numFmtId="0" fontId="2" fillId="0" borderId="7" xfId="0" applyFont="1" applyBorder="1"/>
    <xf numFmtId="49" fontId="5" fillId="0" borderId="7" xfId="0" applyNumberFormat="1" applyFont="1" applyBorder="1" applyAlignment="1">
      <alignment horizontal="right" vertical="center"/>
    </xf>
    <xf numFmtId="10" fontId="2" fillId="0" borderId="8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11" fontId="2" fillId="0" borderId="11" xfId="0" applyNumberFormat="1" applyFont="1" applyBorder="1"/>
    <xf numFmtId="11" fontId="2" fillId="0" borderId="12" xfId="0" applyNumberFormat="1" applyFont="1" applyBorder="1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164" fontId="4" fillId="4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164" fontId="2" fillId="0" borderId="7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8" fillId="0" borderId="0" xfId="0" applyFont="1"/>
    <xf numFmtId="0" fontId="9" fillId="6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2" fillId="7" borderId="0" xfId="0" applyFont="1" applyFill="1" applyAlignment="1">
      <alignment horizontal="center"/>
    </xf>
    <xf numFmtId="10" fontId="13" fillId="7" borderId="0" xfId="0" applyNumberFormat="1" applyFont="1" applyFill="1"/>
    <xf numFmtId="2" fontId="0" fillId="0" borderId="0" xfId="0" applyNumberFormat="1"/>
    <xf numFmtId="2" fontId="14" fillId="0" borderId="0" xfId="0" applyNumberFormat="1" applyFont="1" applyAlignment="1">
      <alignment horizontal="center" vertical="center" readingOrder="1"/>
    </xf>
    <xf numFmtId="0" fontId="15" fillId="0" borderId="0" xfId="0" applyFont="1"/>
    <xf numFmtId="0" fontId="6" fillId="0" borderId="0" xfId="0" applyFont="1"/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left"/>
    </xf>
    <xf numFmtId="14" fontId="6" fillId="0" borderId="7" xfId="0" applyNumberFormat="1" applyFont="1" applyBorder="1"/>
    <xf numFmtId="0" fontId="6" fillId="0" borderId="7" xfId="0" applyFont="1" applyBorder="1"/>
    <xf numFmtId="0" fontId="6" fillId="0" borderId="8" xfId="0" applyFont="1" applyBorder="1"/>
    <xf numFmtId="14" fontId="6" fillId="0" borderId="7" xfId="0" applyNumberFormat="1" applyFont="1" applyBorder="1" applyAlignment="1">
      <alignment horizontal="right"/>
    </xf>
    <xf numFmtId="49" fontId="16" fillId="0" borderId="7" xfId="0" applyNumberFormat="1" applyFont="1" applyBorder="1" applyAlignment="1">
      <alignment horizontal="right" vertical="center"/>
    </xf>
    <xf numFmtId="2" fontId="6" fillId="0" borderId="0" xfId="0" applyNumberFormat="1" applyFont="1"/>
    <xf numFmtId="165" fontId="17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0" fillId="0" borderId="19" xfId="0" applyNumberFormat="1" applyBorder="1" applyAlignment="1">
      <alignment horizontal="center"/>
    </xf>
    <xf numFmtId="3" fontId="17" fillId="0" borderId="20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2" fillId="8" borderId="19" xfId="0" applyFont="1" applyFill="1" applyBorder="1" applyAlignment="1">
      <alignment vertical="top" wrapText="1"/>
    </xf>
    <xf numFmtId="165" fontId="22" fillId="8" borderId="19" xfId="0" applyNumberFormat="1" applyFont="1" applyFill="1" applyBorder="1" applyAlignment="1">
      <alignment horizontal="center" vertical="top" wrapText="1"/>
    </xf>
    <xf numFmtId="20" fontId="22" fillId="8" borderId="19" xfId="0" applyNumberFormat="1" applyFont="1" applyFill="1" applyBorder="1" applyAlignment="1">
      <alignment vertical="top" wrapText="1"/>
    </xf>
    <xf numFmtId="0" fontId="0" fillId="8" borderId="19" xfId="0" applyFill="1" applyBorder="1" applyAlignment="1">
      <alignment vertical="top" wrapText="1"/>
    </xf>
    <xf numFmtId="2" fontId="6" fillId="0" borderId="9" xfId="0" applyNumberFormat="1" applyFont="1" applyFill="1" applyBorder="1" applyAlignment="1">
      <alignment horizontal="center"/>
    </xf>
    <xf numFmtId="2" fontId="6" fillId="0" borderId="10" xfId="0" applyNumberFormat="1" applyFont="1" applyFill="1" applyBorder="1" applyAlignment="1">
      <alignment horizontal="center"/>
    </xf>
    <xf numFmtId="2" fontId="6" fillId="0" borderId="9" xfId="0" applyNumberFormat="1" applyFont="1" applyFill="1" applyBorder="1"/>
    <xf numFmtId="2" fontId="6" fillId="0" borderId="11" xfId="0" applyNumberFormat="1" applyFont="1" applyFill="1" applyBorder="1" applyAlignment="1">
      <alignment horizontal="center"/>
    </xf>
    <xf numFmtId="2" fontId="6" fillId="0" borderId="16" xfId="0" applyNumberFormat="1" applyFont="1" applyFill="1" applyBorder="1" applyAlignment="1">
      <alignment horizontal="center"/>
    </xf>
    <xf numFmtId="2" fontId="6" fillId="0" borderId="11" xfId="0" applyNumberFormat="1" applyFont="1" applyFill="1" applyBorder="1"/>
    <xf numFmtId="0" fontId="3" fillId="0" borderId="3" xfId="0" applyFont="1" applyBorder="1" applyAlignment="1">
      <alignment horizontal="center"/>
    </xf>
    <xf numFmtId="2" fontId="6" fillId="0" borderId="8" xfId="0" applyNumberFormat="1" applyFont="1" applyFill="1" applyBorder="1"/>
    <xf numFmtId="2" fontId="6" fillId="0" borderId="22" xfId="0" applyNumberFormat="1" applyFont="1" applyFill="1" applyBorder="1"/>
    <xf numFmtId="0" fontId="3" fillId="0" borderId="4" xfId="0" applyFont="1" applyBorder="1" applyAlignment="1">
      <alignment horizontal="center"/>
    </xf>
    <xf numFmtId="2" fontId="6" fillId="0" borderId="23" xfId="0" applyNumberFormat="1" applyFont="1" applyBorder="1"/>
    <xf numFmtId="2" fontId="6" fillId="0" borderId="24" xfId="0" applyNumberFormat="1" applyFont="1" applyBorder="1"/>
    <xf numFmtId="2" fontId="9" fillId="9" borderId="26" xfId="0" applyNumberFormat="1" applyFont="1" applyFill="1" applyBorder="1"/>
    <xf numFmtId="2" fontId="9" fillId="9" borderId="27" xfId="0" applyNumberFormat="1" applyFont="1" applyFill="1" applyBorder="1"/>
    <xf numFmtId="167" fontId="6" fillId="0" borderId="9" xfId="0" applyNumberFormat="1" applyFont="1" applyFill="1" applyBorder="1" applyAlignment="1">
      <alignment horizontal="center" vertical="center" readingOrder="1"/>
    </xf>
    <xf numFmtId="167" fontId="6" fillId="0" borderId="8" xfId="0" applyNumberFormat="1" applyFont="1" applyFill="1" applyBorder="1" applyAlignment="1">
      <alignment horizontal="center" vertical="center" readingOrder="1"/>
    </xf>
    <xf numFmtId="167" fontId="6" fillId="0" borderId="23" xfId="0" applyNumberFormat="1" applyFont="1" applyBorder="1"/>
    <xf numFmtId="167" fontId="9" fillId="9" borderId="26" xfId="0" applyNumberFormat="1" applyFont="1" applyFill="1" applyBorder="1"/>
    <xf numFmtId="176" fontId="23" fillId="10" borderId="0" xfId="0" applyNumberFormat="1" applyFont="1" applyFill="1"/>
    <xf numFmtId="0" fontId="24" fillId="10" borderId="0" xfId="0" applyFont="1" applyFill="1"/>
    <xf numFmtId="0" fontId="0" fillId="0" borderId="0" xfId="0" applyFill="1" applyBorder="1"/>
    <xf numFmtId="0" fontId="3" fillId="9" borderId="2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2" fontId="9" fillId="9" borderId="25" xfId="0" applyNumberFormat="1" applyFont="1" applyFill="1" applyBorder="1"/>
    <xf numFmtId="0" fontId="1" fillId="0" borderId="0" xfId="0" applyFont="1" applyFill="1" applyBorder="1"/>
    <xf numFmtId="167" fontId="9" fillId="9" borderId="25" xfId="0" applyNumberFormat="1" applyFont="1" applyFill="1" applyBorder="1"/>
    <xf numFmtId="167" fontId="9" fillId="9" borderId="27" xfId="0" applyNumberFormat="1" applyFont="1" applyFill="1" applyBorder="1"/>
    <xf numFmtId="0" fontId="9" fillId="2" borderId="1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1" fontId="5" fillId="9" borderId="7" xfId="0" applyNumberFormat="1" applyFont="1" applyFill="1" applyBorder="1" applyAlignment="1">
      <alignment horizontal="center" vertical="center"/>
    </xf>
    <xf numFmtId="11" fontId="5" fillId="9" borderId="7" xfId="0" applyNumberFormat="1" applyFont="1" applyFill="1" applyBorder="1" applyAlignment="1" applyProtection="1">
      <alignment horizontal="center" vertical="center"/>
      <protection locked="0"/>
    </xf>
    <xf numFmtId="0" fontId="3" fillId="9" borderId="10" xfId="0" applyFont="1" applyFill="1" applyBorder="1" applyAlignment="1">
      <alignment horizontal="center"/>
    </xf>
    <xf numFmtId="11" fontId="2" fillId="9" borderId="7" xfId="0" applyNumberFormat="1" applyFont="1" applyFill="1" applyBorder="1"/>
    <xf numFmtId="11" fontId="6" fillId="3" borderId="7" xfId="0" applyNumberFormat="1" applyFont="1" applyFill="1" applyBorder="1" applyAlignment="1">
      <alignment horizontal="center" vertical="center" readingOrder="1"/>
    </xf>
    <xf numFmtId="0" fontId="2" fillId="3" borderId="7" xfId="0" applyFont="1" applyFill="1" applyBorder="1"/>
    <xf numFmtId="14" fontId="2" fillId="3" borderId="7" xfId="0" applyNumberFormat="1" applyFont="1" applyFill="1" applyBorder="1"/>
    <xf numFmtId="164" fontId="2" fillId="3" borderId="7" xfId="0" applyNumberFormat="1" applyFont="1" applyFill="1" applyBorder="1" applyAlignment="1">
      <alignment vertical="center"/>
    </xf>
    <xf numFmtId="164" fontId="5" fillId="3" borderId="7" xfId="0" applyNumberFormat="1" applyFont="1" applyFill="1" applyBorder="1" applyAlignment="1">
      <alignment vertical="center"/>
    </xf>
    <xf numFmtId="164" fontId="5" fillId="3" borderId="8" xfId="0" applyNumberFormat="1" applyFont="1" applyFill="1" applyBorder="1" applyAlignment="1">
      <alignment vertical="center"/>
    </xf>
    <xf numFmtId="11" fontId="2" fillId="3" borderId="9" xfId="0" applyNumberFormat="1" applyFont="1" applyFill="1" applyBorder="1"/>
    <xf numFmtId="0" fontId="2" fillId="3" borderId="0" xfId="0" applyFont="1" applyFill="1"/>
    <xf numFmtId="165" fontId="2" fillId="3" borderId="7" xfId="0" applyNumberFormat="1" applyFont="1" applyFill="1" applyBorder="1" applyAlignment="1">
      <alignment horizontal="left"/>
    </xf>
    <xf numFmtId="49" fontId="5" fillId="3" borderId="7" xfId="0" applyNumberFormat="1" applyFont="1" applyFill="1" applyBorder="1" applyAlignment="1">
      <alignment horizontal="right" vertical="center"/>
    </xf>
    <xf numFmtId="14" fontId="2" fillId="3" borderId="7" xfId="0" applyNumberFormat="1" applyFont="1" applyFill="1" applyBorder="1" applyAlignment="1">
      <alignment horizontal="right"/>
    </xf>
    <xf numFmtId="164" fontId="2" fillId="3" borderId="7" xfId="0" applyNumberFormat="1" applyFont="1" applyFill="1" applyBorder="1" applyAlignment="1">
      <alignment horizontal="right" vertical="center"/>
    </xf>
    <xf numFmtId="0" fontId="6" fillId="3" borderId="7" xfId="0" applyNumberFormat="1" applyFont="1" applyFill="1" applyBorder="1" applyAlignment="1">
      <alignment horizontal="center" vertical="center" readingOrder="1"/>
    </xf>
    <xf numFmtId="0" fontId="2" fillId="0" borderId="7" xfId="0" applyFont="1" applyFill="1" applyBorder="1"/>
    <xf numFmtId="14" fontId="2" fillId="0" borderId="7" xfId="0" applyNumberFormat="1" applyFont="1" applyFill="1" applyBorder="1"/>
    <xf numFmtId="164" fontId="2" fillId="0" borderId="7" xfId="0" applyNumberFormat="1" applyFont="1" applyFill="1" applyBorder="1" applyAlignment="1">
      <alignment vertical="center"/>
    </xf>
    <xf numFmtId="164" fontId="5" fillId="0" borderId="7" xfId="0" applyNumberFormat="1" applyFont="1" applyFill="1" applyBorder="1" applyAlignment="1">
      <alignment vertical="center"/>
    </xf>
    <xf numFmtId="164" fontId="5" fillId="0" borderId="8" xfId="0" applyNumberFormat="1" applyFont="1" applyFill="1" applyBorder="1" applyAlignment="1">
      <alignment vertical="center"/>
    </xf>
    <xf numFmtId="11" fontId="2" fillId="0" borderId="9" xfId="0" applyNumberFormat="1" applyFont="1" applyFill="1" applyBorder="1"/>
    <xf numFmtId="11" fontId="5" fillId="0" borderId="7" xfId="0" applyNumberFormat="1" applyFont="1" applyFill="1" applyBorder="1" applyAlignment="1">
      <alignment horizontal="center" vertical="center"/>
    </xf>
    <xf numFmtId="11" fontId="2" fillId="0" borderId="7" xfId="0" applyNumberFormat="1" applyFont="1" applyFill="1" applyBorder="1"/>
    <xf numFmtId="11" fontId="5" fillId="0" borderId="7" xfId="0" applyNumberFormat="1" applyFont="1" applyFill="1" applyBorder="1" applyAlignment="1" applyProtection="1">
      <alignment horizontal="center" vertical="center"/>
      <protection locked="0"/>
    </xf>
    <xf numFmtId="11" fontId="6" fillId="0" borderId="7" xfId="0" applyNumberFormat="1" applyFont="1" applyFill="1" applyBorder="1" applyAlignment="1">
      <alignment horizontal="center" vertical="center" readingOrder="1"/>
    </xf>
    <xf numFmtId="0" fontId="2" fillId="0" borderId="0" xfId="0" applyFont="1" applyFill="1"/>
    <xf numFmtId="166" fontId="2" fillId="0" borderId="8" xfId="0" applyNumberFormat="1" applyFont="1" applyBorder="1" applyAlignment="1" applyProtection="1">
      <alignment horizontal="center" vertical="center"/>
      <protection locked="0"/>
    </xf>
    <xf numFmtId="166" fontId="2" fillId="3" borderId="8" xfId="0" applyNumberFormat="1" applyFont="1" applyFill="1" applyBorder="1" applyAlignment="1" applyProtection="1">
      <alignment horizontal="center" vertical="center"/>
      <protection locked="0"/>
    </xf>
    <xf numFmtId="10" fontId="2" fillId="3" borderId="8" xfId="0" applyNumberFormat="1" applyFont="1" applyFill="1" applyBorder="1" applyAlignment="1">
      <alignment horizontal="center"/>
    </xf>
    <xf numFmtId="166" fontId="2" fillId="0" borderId="8" xfId="0" applyNumberFormat="1" applyFont="1" applyFill="1" applyBorder="1" applyAlignment="1" applyProtection="1">
      <alignment horizontal="center" vertical="center"/>
      <protection locked="0"/>
    </xf>
    <xf numFmtId="166" fontId="2" fillId="0" borderId="8" xfId="0" applyNumberFormat="1" applyFont="1" applyBorder="1" applyAlignment="1" applyProtection="1">
      <alignment horizontal="center" vertical="top"/>
      <protection locked="0"/>
    </xf>
    <xf numFmtId="0" fontId="19" fillId="0" borderId="0" xfId="0" applyFont="1" applyAlignment="1">
      <alignment horizontal="center" vertical="center"/>
    </xf>
    <xf numFmtId="165" fontId="19" fillId="11" borderId="0" xfId="0" applyNumberFormat="1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 wrapText="1"/>
    </xf>
    <xf numFmtId="0" fontId="6" fillId="12" borderId="8" xfId="0" applyFont="1" applyFill="1" applyBorder="1" applyAlignment="1">
      <alignment horizontal="center"/>
    </xf>
    <xf numFmtId="0" fontId="0" fillId="10" borderId="0" xfId="0" applyFill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40FF-F5C8-3947-A73C-84C7D1006ACA}">
  <dimension ref="A1:O103"/>
  <sheetViews>
    <sheetView tabSelected="1" topLeftCell="I1" workbookViewId="0">
      <selection activeCell="O29" sqref="O29"/>
    </sheetView>
  </sheetViews>
  <sheetFormatPr baseColWidth="10" defaultColWidth="19.5" defaultRowHeight="13" x14ac:dyDescent="0.15"/>
  <cols>
    <col min="1" max="5" width="19.5" style="1"/>
    <col min="6" max="6" width="19.5" style="28"/>
    <col min="7" max="8" width="19.5" style="1"/>
    <col min="9" max="9" width="16.83203125" style="1" customWidth="1"/>
    <col min="10" max="16384" width="19.5" style="1"/>
  </cols>
  <sheetData>
    <row r="1" spans="1:15" ht="15" customHeight="1" x14ac:dyDescent="0.15">
      <c r="C1" s="29" t="s">
        <v>0</v>
      </c>
      <c r="D1" s="29"/>
      <c r="E1" s="29"/>
      <c r="F1" s="33" t="s">
        <v>1</v>
      </c>
      <c r="G1" s="34" t="s">
        <v>2</v>
      </c>
      <c r="H1" s="35"/>
      <c r="I1" s="36" t="s">
        <v>3</v>
      </c>
      <c r="J1" s="35"/>
      <c r="K1" s="37" t="s">
        <v>4</v>
      </c>
      <c r="L1" s="38"/>
      <c r="M1" s="38"/>
    </row>
    <row r="2" spans="1:15" ht="14.5" customHeight="1" x14ac:dyDescent="0.15">
      <c r="A2" s="2"/>
      <c r="B2" s="3" t="s">
        <v>5</v>
      </c>
      <c r="C2" s="30" t="s">
        <v>6</v>
      </c>
      <c r="D2" s="31" t="s">
        <v>7</v>
      </c>
      <c r="E2" s="32" t="s">
        <v>8</v>
      </c>
      <c r="F2" s="39"/>
      <c r="G2" s="4" t="s">
        <v>9</v>
      </c>
      <c r="H2" s="114" t="s">
        <v>10</v>
      </c>
      <c r="I2" s="5" t="s">
        <v>9</v>
      </c>
      <c r="J2" s="114" t="s">
        <v>10</v>
      </c>
      <c r="K2" s="5" t="s">
        <v>11</v>
      </c>
      <c r="L2" s="5" t="s">
        <v>9</v>
      </c>
      <c r="M2" s="117" t="s">
        <v>10</v>
      </c>
    </row>
    <row r="3" spans="1:15" x14ac:dyDescent="0.15">
      <c r="A3" s="6" t="s">
        <v>12</v>
      </c>
      <c r="B3" s="7">
        <v>45315</v>
      </c>
      <c r="C3" s="24">
        <v>35.541145626017503</v>
      </c>
      <c r="D3" s="8">
        <v>18.206022406814501</v>
      </c>
      <c r="E3" s="9">
        <v>22.8184665158713</v>
      </c>
      <c r="F3" s="10">
        <v>0.77838381846776894</v>
      </c>
      <c r="G3" s="11">
        <f>(10^((D3-37.429)/-3.4921))/2</f>
        <v>159835.85939604894</v>
      </c>
      <c r="H3" s="115">
        <f>G3*(50/2)*(1000/150)</f>
        <v>26639309.89934149</v>
      </c>
      <c r="I3" s="13">
        <f>(10^((E3-35.023)/-3.1786))/2</f>
        <v>3455.9225656324952</v>
      </c>
      <c r="J3" s="116">
        <f>I3*(50/2)*(1000/150)</f>
        <v>575987.09427208256</v>
      </c>
      <c r="K3" s="15">
        <f>10^((C3-49.012)/(-4.2834))</f>
        <v>1396.0391531582645</v>
      </c>
      <c r="L3" s="13">
        <f>K3/5</f>
        <v>279.20783063165288</v>
      </c>
      <c r="M3" s="118">
        <f>L3*(50/5)*(1000/150)</f>
        <v>18613.855375443527</v>
      </c>
      <c r="N3" s="17">
        <f>(101-8)/101</f>
        <v>0.92079207920792083</v>
      </c>
      <c r="O3" s="18" t="s">
        <v>13</v>
      </c>
    </row>
    <row r="4" spans="1:15" x14ac:dyDescent="0.15">
      <c r="A4" s="6" t="s">
        <v>14</v>
      </c>
      <c r="B4" s="7">
        <v>45319</v>
      </c>
      <c r="C4" s="24">
        <v>34.5191783006712</v>
      </c>
      <c r="D4" s="8">
        <v>17.176130562638299</v>
      </c>
      <c r="E4" s="9">
        <v>21.5815009753595</v>
      </c>
      <c r="F4" s="10">
        <v>0.51503721352712717</v>
      </c>
      <c r="G4" s="11">
        <f t="shared" ref="G4:G67" si="0">(10^((D4-37.429)/-3.4921))/2</f>
        <v>315206.17056834715</v>
      </c>
      <c r="H4" s="115">
        <f t="shared" ref="H4:H67" si="1">G4*(50/2)*(1000/150)</f>
        <v>52534361.761391193</v>
      </c>
      <c r="I4" s="13">
        <f t="shared" ref="I4:I67" si="2">(10^((E4-35.023)/-3.1786))/2</f>
        <v>8466.7785936632463</v>
      </c>
      <c r="J4" s="116">
        <f t="shared" ref="J4:J67" si="3">I4*(50/2)*(1000/150)</f>
        <v>1411129.765610541</v>
      </c>
      <c r="K4" s="15">
        <f>10^((C4-49.012)/(-4.2834))</f>
        <v>2418.1624814437109</v>
      </c>
      <c r="L4" s="13">
        <f t="shared" ref="L4:L67" si="4">K4/5</f>
        <v>483.63249628874217</v>
      </c>
      <c r="M4" s="118">
        <f>L4*(50/5)*(1000/150)</f>
        <v>32242.166419249479</v>
      </c>
      <c r="N4" s="19">
        <v>1</v>
      </c>
      <c r="O4" s="18" t="s">
        <v>15</v>
      </c>
    </row>
    <row r="5" spans="1:15" x14ac:dyDescent="0.15">
      <c r="A5" s="20" t="s">
        <v>16</v>
      </c>
      <c r="B5" s="7">
        <v>45322</v>
      </c>
      <c r="C5" s="24">
        <v>34.465258715788302</v>
      </c>
      <c r="D5" s="8">
        <v>17.6648942938854</v>
      </c>
      <c r="E5" s="9">
        <v>23.075753196204399</v>
      </c>
      <c r="F5" s="10">
        <v>0.47928567343486184</v>
      </c>
      <c r="G5" s="11">
        <f t="shared" si="0"/>
        <v>228366.29954083581</v>
      </c>
      <c r="H5" s="115">
        <f t="shared" si="1"/>
        <v>38061049.923472635</v>
      </c>
      <c r="I5" s="13">
        <f t="shared" si="2"/>
        <v>2868.2738034209233</v>
      </c>
      <c r="J5" s="116">
        <f t="shared" si="3"/>
        <v>478045.63390348718</v>
      </c>
      <c r="K5" s="15">
        <f>10^((C5-49.012)/(-4.2834))</f>
        <v>2489.2786408273769</v>
      </c>
      <c r="L5" s="13">
        <f t="shared" si="4"/>
        <v>497.8557281654754</v>
      </c>
      <c r="M5" s="118">
        <f t="shared" ref="M5:M68" si="5">L5*(50/5)*(1000/150)</f>
        <v>33190.381877698361</v>
      </c>
    </row>
    <row r="6" spans="1:15" x14ac:dyDescent="0.15">
      <c r="A6" s="6" t="s">
        <v>17</v>
      </c>
      <c r="B6" s="7">
        <v>45326</v>
      </c>
      <c r="C6" s="24">
        <v>33.216177721397102</v>
      </c>
      <c r="D6" s="8">
        <v>18.175822513382901</v>
      </c>
      <c r="E6" s="9">
        <v>26.1471364923223</v>
      </c>
      <c r="F6" s="10">
        <v>0</v>
      </c>
      <c r="G6" s="11">
        <f t="shared" si="0"/>
        <v>163050.55498027318</v>
      </c>
      <c r="H6" s="115">
        <f t="shared" si="1"/>
        <v>27175092.4967122</v>
      </c>
      <c r="I6" s="13">
        <f t="shared" si="2"/>
        <v>309.99265310201395</v>
      </c>
      <c r="J6" s="116">
        <f t="shared" si="3"/>
        <v>51665.442183668994</v>
      </c>
      <c r="K6" s="15">
        <f>10^((C6-49.012)/(-4.2834))</f>
        <v>4871.7300339773037</v>
      </c>
      <c r="L6" s="13">
        <f t="shared" si="4"/>
        <v>974.34600679546077</v>
      </c>
      <c r="M6" s="118">
        <f t="shared" si="5"/>
        <v>64956.400453030721</v>
      </c>
    </row>
    <row r="7" spans="1:15" x14ac:dyDescent="0.15">
      <c r="A7" s="6" t="s">
        <v>18</v>
      </c>
      <c r="B7" s="7">
        <v>45329</v>
      </c>
      <c r="C7" s="24">
        <v>33.662908856521703</v>
      </c>
      <c r="D7" s="8">
        <v>18.315641286426001</v>
      </c>
      <c r="E7" s="9">
        <v>25.989613886157301</v>
      </c>
      <c r="F7" s="10">
        <v>0</v>
      </c>
      <c r="G7" s="11">
        <f t="shared" si="0"/>
        <v>148690.6594826791</v>
      </c>
      <c r="H7" s="115">
        <f t="shared" si="1"/>
        <v>24781776.580446519</v>
      </c>
      <c r="I7" s="13">
        <f t="shared" si="2"/>
        <v>347.46305154814769</v>
      </c>
      <c r="J7" s="116">
        <f t="shared" si="3"/>
        <v>57910.508591357953</v>
      </c>
      <c r="K7" s="15">
        <f>10^((C7-49.012)/(-4.2834))</f>
        <v>3831.6835151328028</v>
      </c>
      <c r="L7" s="13">
        <f t="shared" si="4"/>
        <v>766.3367030265606</v>
      </c>
      <c r="M7" s="118">
        <f t="shared" si="5"/>
        <v>51089.113535104043</v>
      </c>
    </row>
    <row r="8" spans="1:15" x14ac:dyDescent="0.15">
      <c r="A8" s="6" t="s">
        <v>19</v>
      </c>
      <c r="B8" s="7">
        <v>45333</v>
      </c>
      <c r="C8" s="24">
        <v>36.384767304658098</v>
      </c>
      <c r="D8" s="8">
        <v>18.320604329375598</v>
      </c>
      <c r="E8" s="9">
        <v>22.739499571571098</v>
      </c>
      <c r="F8" s="10">
        <v>0.31843006897997583</v>
      </c>
      <c r="G8" s="11">
        <f t="shared" si="0"/>
        <v>148204.86752368711</v>
      </c>
      <c r="H8" s="115">
        <f t="shared" si="1"/>
        <v>24700811.253947854</v>
      </c>
      <c r="I8" s="13">
        <f t="shared" si="2"/>
        <v>3659.3783364317787</v>
      </c>
      <c r="J8" s="116">
        <f t="shared" si="3"/>
        <v>609896.38940529653</v>
      </c>
      <c r="K8" s="15">
        <f>10^((C8-49.012)/(-4.2834))</f>
        <v>887.04609124415288</v>
      </c>
      <c r="L8" s="13">
        <f t="shared" si="4"/>
        <v>177.40921824883057</v>
      </c>
      <c r="M8" s="118">
        <f t="shared" si="5"/>
        <v>11827.281216588706</v>
      </c>
    </row>
    <row r="9" spans="1:15" x14ac:dyDescent="0.15">
      <c r="A9" s="6" t="s">
        <v>20</v>
      </c>
      <c r="B9" s="7">
        <v>45340</v>
      </c>
      <c r="C9" s="24">
        <v>33.659121289924101</v>
      </c>
      <c r="D9" s="8">
        <v>17.830908256599201</v>
      </c>
      <c r="E9" s="9">
        <v>22.865621400611801</v>
      </c>
      <c r="F9" s="10">
        <v>0</v>
      </c>
      <c r="G9" s="11">
        <f t="shared" si="0"/>
        <v>204687.89020129899</v>
      </c>
      <c r="H9" s="115">
        <f t="shared" si="1"/>
        <v>34114648.366883166</v>
      </c>
      <c r="I9" s="13">
        <f t="shared" si="2"/>
        <v>3339.8648390122094</v>
      </c>
      <c r="J9" s="116">
        <f t="shared" si="3"/>
        <v>556644.13983536826</v>
      </c>
      <c r="K9" s="15">
        <f>10^((C9-49.012)/(-4.2834))</f>
        <v>3839.4929419833002</v>
      </c>
      <c r="L9" s="13">
        <f t="shared" si="4"/>
        <v>767.89858839665999</v>
      </c>
      <c r="M9" s="118">
        <f t="shared" si="5"/>
        <v>51193.239226443999</v>
      </c>
    </row>
    <row r="10" spans="1:15" x14ac:dyDescent="0.15">
      <c r="A10" s="6" t="s">
        <v>21</v>
      </c>
      <c r="B10" s="7">
        <v>45343</v>
      </c>
      <c r="C10" s="24">
        <v>35.115369707469704</v>
      </c>
      <c r="D10" s="8">
        <v>18.8887548520355</v>
      </c>
      <c r="E10" s="9">
        <v>25.426350530579501</v>
      </c>
      <c r="F10" s="10">
        <v>0</v>
      </c>
      <c r="G10" s="11">
        <f t="shared" si="0"/>
        <v>101898.20148915249</v>
      </c>
      <c r="H10" s="115">
        <f t="shared" si="1"/>
        <v>16983033.581525415</v>
      </c>
      <c r="I10" s="13">
        <f t="shared" si="2"/>
        <v>522.53271426786841</v>
      </c>
      <c r="J10" s="116">
        <f t="shared" si="3"/>
        <v>87088.785711311415</v>
      </c>
      <c r="K10" s="15">
        <f>10^((C10-49.012)/(-4.2834))</f>
        <v>1755.0883752946422</v>
      </c>
      <c r="L10" s="13">
        <f t="shared" si="4"/>
        <v>351.01767505892843</v>
      </c>
      <c r="M10" s="118">
        <f t="shared" si="5"/>
        <v>23401.178337261896</v>
      </c>
    </row>
    <row r="11" spans="1:15" x14ac:dyDescent="0.15">
      <c r="A11" s="6" t="s">
        <v>22</v>
      </c>
      <c r="B11" s="7">
        <v>45347</v>
      </c>
      <c r="C11" s="24">
        <v>37.372385502351399</v>
      </c>
      <c r="D11" s="8">
        <v>18.590996989030501</v>
      </c>
      <c r="E11" s="9">
        <v>23.371175069581401</v>
      </c>
      <c r="F11" s="10">
        <v>0.5672324208289411</v>
      </c>
      <c r="G11" s="11">
        <f t="shared" si="0"/>
        <v>124003.13122041753</v>
      </c>
      <c r="H11" s="115">
        <f t="shared" si="1"/>
        <v>20667188.536736254</v>
      </c>
      <c r="I11" s="13">
        <f t="shared" si="2"/>
        <v>2315.6863137490345</v>
      </c>
      <c r="J11" s="116">
        <f t="shared" si="3"/>
        <v>385947.71895817242</v>
      </c>
      <c r="K11" s="15">
        <f>10^((C11-49.012)/(-4.2834))</f>
        <v>521.64786382734849</v>
      </c>
      <c r="L11" s="13">
        <f t="shared" si="4"/>
        <v>104.32957276546969</v>
      </c>
      <c r="M11" s="118">
        <f t="shared" si="5"/>
        <v>6955.3048510313138</v>
      </c>
    </row>
    <row r="12" spans="1:15" x14ac:dyDescent="0.15">
      <c r="A12" s="20" t="s">
        <v>23</v>
      </c>
      <c r="B12" s="7">
        <v>45350</v>
      </c>
      <c r="C12" s="24">
        <v>35.229825967881197</v>
      </c>
      <c r="D12" s="8">
        <v>17.9197604040397</v>
      </c>
      <c r="E12" s="9">
        <v>23.054248906660199</v>
      </c>
      <c r="F12" s="10">
        <v>0.56863800390661101</v>
      </c>
      <c r="G12" s="11">
        <f t="shared" si="0"/>
        <v>193040.48122471233</v>
      </c>
      <c r="H12" s="115">
        <f t="shared" si="1"/>
        <v>32173413.537452053</v>
      </c>
      <c r="I12" s="13">
        <f t="shared" si="2"/>
        <v>2913.3049052041156</v>
      </c>
      <c r="J12" s="116">
        <f t="shared" si="3"/>
        <v>485550.8175340193</v>
      </c>
      <c r="K12" s="15">
        <f>10^((C12-49.012)/(-4.2834))</f>
        <v>1650.3577603400638</v>
      </c>
      <c r="L12" s="13">
        <f t="shared" si="4"/>
        <v>330.07155206801275</v>
      </c>
      <c r="M12" s="118">
        <f t="shared" si="5"/>
        <v>22004.770137867519</v>
      </c>
    </row>
    <row r="13" spans="1:15" x14ac:dyDescent="0.15">
      <c r="A13" s="6" t="s">
        <v>24</v>
      </c>
      <c r="B13" s="7">
        <v>45354</v>
      </c>
      <c r="C13" s="40">
        <v>38.129219382064498</v>
      </c>
      <c r="D13" s="8">
        <v>17.535970527393701</v>
      </c>
      <c r="E13" s="9">
        <v>23.811325095055899</v>
      </c>
      <c r="F13" s="10">
        <v>0.64965127212154505</v>
      </c>
      <c r="G13" s="11">
        <f t="shared" si="0"/>
        <v>248628.38401438002</v>
      </c>
      <c r="H13" s="115">
        <f t="shared" si="1"/>
        <v>41438064.002396673</v>
      </c>
      <c r="I13" s="13">
        <f t="shared" si="2"/>
        <v>1683.4755305187521</v>
      </c>
      <c r="J13" s="116">
        <f t="shared" si="3"/>
        <v>280579.2550864587</v>
      </c>
      <c r="K13" s="15">
        <f>10^((C13-49.012)/(-4.2834))</f>
        <v>347.28613803232469</v>
      </c>
      <c r="L13" s="13">
        <f t="shared" si="4"/>
        <v>69.45722760646494</v>
      </c>
      <c r="M13" s="118">
        <f t="shared" si="5"/>
        <v>4630.4818404309963</v>
      </c>
    </row>
    <row r="14" spans="1:15" x14ac:dyDescent="0.15">
      <c r="A14" s="6" t="s">
        <v>25</v>
      </c>
      <c r="B14" s="7">
        <v>45357</v>
      </c>
      <c r="C14" s="40">
        <v>34.017239788635997</v>
      </c>
      <c r="D14" s="8">
        <v>15.830806789086701</v>
      </c>
      <c r="E14" s="9">
        <v>21.729120772189201</v>
      </c>
      <c r="F14" s="10">
        <v>0.45587573711674467</v>
      </c>
      <c r="G14" s="11">
        <f t="shared" si="0"/>
        <v>765318.99242390844</v>
      </c>
      <c r="H14" s="115">
        <f t="shared" si="1"/>
        <v>127553165.40398474</v>
      </c>
      <c r="I14" s="13">
        <f t="shared" si="2"/>
        <v>7608.1039418499031</v>
      </c>
      <c r="J14" s="116">
        <f t="shared" si="3"/>
        <v>1268017.3236416506</v>
      </c>
      <c r="K14" s="15">
        <f>10^((C14-49.012)/(-4.2834))</f>
        <v>3167.1435144461993</v>
      </c>
      <c r="L14" s="13">
        <f t="shared" si="4"/>
        <v>633.42870288923984</v>
      </c>
      <c r="M14" s="118">
        <f t="shared" si="5"/>
        <v>42228.580192615991</v>
      </c>
    </row>
    <row r="15" spans="1:15" x14ac:dyDescent="0.15">
      <c r="A15" s="6" t="s">
        <v>26</v>
      </c>
      <c r="B15" s="7">
        <v>45361</v>
      </c>
      <c r="C15" s="40">
        <v>35.128441904948097</v>
      </c>
      <c r="D15" s="8">
        <v>18.725571138110201</v>
      </c>
      <c r="E15" s="9">
        <v>27.646452131959101</v>
      </c>
      <c r="F15" s="10">
        <v>0</v>
      </c>
      <c r="G15" s="11">
        <f t="shared" si="0"/>
        <v>113473.88183525892</v>
      </c>
      <c r="H15" s="115">
        <f t="shared" si="1"/>
        <v>18912313.639209822</v>
      </c>
      <c r="I15" s="13">
        <f t="shared" si="2"/>
        <v>104.63111008966459</v>
      </c>
      <c r="J15" s="116">
        <f t="shared" si="3"/>
        <v>17438.51834827743</v>
      </c>
      <c r="K15" s="15">
        <f>10^((C15-49.012)/(-4.2834))</f>
        <v>1742.7984391631239</v>
      </c>
      <c r="L15" s="13">
        <f t="shared" si="4"/>
        <v>348.55968783262477</v>
      </c>
      <c r="M15" s="118">
        <f t="shared" si="5"/>
        <v>23237.312522174987</v>
      </c>
    </row>
    <row r="16" spans="1:15" x14ac:dyDescent="0.15">
      <c r="A16" s="6" t="s">
        <v>27</v>
      </c>
      <c r="B16" s="7">
        <v>45368</v>
      </c>
      <c r="C16" s="40">
        <v>37.690585328688798</v>
      </c>
      <c r="D16" s="8">
        <v>16.056711905666599</v>
      </c>
      <c r="E16" s="9">
        <v>21.2183472158287</v>
      </c>
      <c r="F16" s="10">
        <v>0.53555497275157193</v>
      </c>
      <c r="G16" s="11">
        <f t="shared" si="0"/>
        <v>659404.87977814313</v>
      </c>
      <c r="H16" s="115">
        <f t="shared" si="1"/>
        <v>109900813.2963572</v>
      </c>
      <c r="I16" s="13">
        <f t="shared" si="2"/>
        <v>11014.576335938498</v>
      </c>
      <c r="J16" s="116">
        <f t="shared" si="3"/>
        <v>1835762.7226564165</v>
      </c>
      <c r="K16" s="15">
        <f>10^((C16-49.012)/(-4.2834))</f>
        <v>439.63341304370039</v>
      </c>
      <c r="L16" s="13">
        <f t="shared" si="4"/>
        <v>87.92668260874008</v>
      </c>
      <c r="M16" s="118">
        <f t="shared" si="5"/>
        <v>5861.7788405826723</v>
      </c>
    </row>
    <row r="17" spans="1:13" x14ac:dyDescent="0.15">
      <c r="A17" s="20" t="s">
        <v>28</v>
      </c>
      <c r="B17" s="7">
        <v>45371</v>
      </c>
      <c r="C17" s="24">
        <v>35.333924856778502</v>
      </c>
      <c r="D17" s="8">
        <v>17.404984373477401</v>
      </c>
      <c r="E17" s="9">
        <v>23.002312625089999</v>
      </c>
      <c r="F17" s="10">
        <v>0.37405385129867474</v>
      </c>
      <c r="G17" s="11">
        <f t="shared" si="0"/>
        <v>271056.59999663185</v>
      </c>
      <c r="H17" s="115">
        <f t="shared" si="1"/>
        <v>45176099.999438643</v>
      </c>
      <c r="I17" s="13">
        <f t="shared" si="2"/>
        <v>3024.999432535903</v>
      </c>
      <c r="J17" s="116">
        <f t="shared" si="3"/>
        <v>504166.5720893172</v>
      </c>
      <c r="K17" s="15">
        <f>10^((C17-49.012)/(-4.2834))</f>
        <v>1560.5411869751601</v>
      </c>
      <c r="L17" s="13">
        <f t="shared" si="4"/>
        <v>312.10823739503201</v>
      </c>
      <c r="M17" s="118">
        <f t="shared" si="5"/>
        <v>20807.215826335469</v>
      </c>
    </row>
    <row r="18" spans="1:13" x14ac:dyDescent="0.15">
      <c r="A18" s="6" t="s">
        <v>29</v>
      </c>
      <c r="B18" s="7">
        <v>45375</v>
      </c>
      <c r="C18" s="40">
        <v>39.575136674512102</v>
      </c>
      <c r="D18" s="8">
        <v>16.578643501181201</v>
      </c>
      <c r="E18" s="9">
        <v>21.384149533235</v>
      </c>
      <c r="F18" s="143">
        <v>0.7611694436743266</v>
      </c>
      <c r="G18" s="11">
        <f t="shared" si="0"/>
        <v>467402.99362524436</v>
      </c>
      <c r="H18" s="115">
        <f t="shared" si="1"/>
        <v>77900498.937540725</v>
      </c>
      <c r="I18" s="13">
        <f t="shared" si="2"/>
        <v>9768.001984663606</v>
      </c>
      <c r="J18" s="116">
        <f t="shared" si="3"/>
        <v>1628000.3307772677</v>
      </c>
      <c r="K18" s="15">
        <f>10^((C18-49.012)/(-4.2834))</f>
        <v>159.63365710135167</v>
      </c>
      <c r="L18" s="13">
        <f t="shared" si="4"/>
        <v>31.926731420270336</v>
      </c>
      <c r="M18" s="118">
        <f t="shared" si="5"/>
        <v>2128.4487613513556</v>
      </c>
    </row>
    <row r="19" spans="1:13" x14ac:dyDescent="0.15">
      <c r="A19" s="6" t="s">
        <v>30</v>
      </c>
      <c r="B19" s="7">
        <v>45378</v>
      </c>
      <c r="C19" s="40">
        <v>37.731580518280403</v>
      </c>
      <c r="D19" s="8">
        <v>16.912172064248001</v>
      </c>
      <c r="E19" s="9">
        <v>22.3409330053708</v>
      </c>
      <c r="F19" s="143">
        <v>0.40841705697700781</v>
      </c>
      <c r="G19" s="11">
        <f t="shared" si="0"/>
        <v>375130.20638541295</v>
      </c>
      <c r="H19" s="115">
        <f t="shared" si="1"/>
        <v>62521701.064235494</v>
      </c>
      <c r="I19" s="13">
        <f t="shared" si="2"/>
        <v>4884.2503276148846</v>
      </c>
      <c r="J19" s="116">
        <f t="shared" si="3"/>
        <v>814041.72126914747</v>
      </c>
      <c r="K19" s="15">
        <f>10^((C19-49.012)/(-4.2834))</f>
        <v>430.0510178105535</v>
      </c>
      <c r="L19" s="13">
        <f t="shared" si="4"/>
        <v>86.010203562110704</v>
      </c>
      <c r="M19" s="118">
        <f t="shared" si="5"/>
        <v>5734.0135708073803</v>
      </c>
    </row>
    <row r="20" spans="1:13" x14ac:dyDescent="0.15">
      <c r="A20" s="6" t="s">
        <v>31</v>
      </c>
      <c r="B20" s="7">
        <v>45382</v>
      </c>
      <c r="C20" s="40">
        <v>39.0787763614602</v>
      </c>
      <c r="D20" s="8">
        <v>16.9690832750418</v>
      </c>
      <c r="E20" s="9">
        <v>26.115080880201901</v>
      </c>
      <c r="F20" s="143">
        <v>0.66410787633002388</v>
      </c>
      <c r="G20" s="11">
        <f t="shared" si="0"/>
        <v>361314.09600583761</v>
      </c>
      <c r="H20" s="115">
        <f t="shared" si="1"/>
        <v>60219016.000972942</v>
      </c>
      <c r="I20" s="13">
        <f t="shared" si="2"/>
        <v>317.27526980962068</v>
      </c>
      <c r="J20" s="116">
        <f t="shared" si="3"/>
        <v>52879.211634936786</v>
      </c>
      <c r="K20" s="15">
        <f>10^((C20-49.012)/(-4.2834))</f>
        <v>208.45122166367236</v>
      </c>
      <c r="L20" s="13">
        <f t="shared" si="4"/>
        <v>41.690244332734473</v>
      </c>
      <c r="M20" s="118">
        <f t="shared" si="5"/>
        <v>2779.3496221822984</v>
      </c>
    </row>
    <row r="21" spans="1:13" x14ac:dyDescent="0.15">
      <c r="A21" s="6" t="s">
        <v>32</v>
      </c>
      <c r="B21" s="7">
        <v>45385</v>
      </c>
      <c r="C21" s="40">
        <v>37.761604661442803</v>
      </c>
      <c r="D21" s="8">
        <v>16.059096313391201</v>
      </c>
      <c r="E21" s="9">
        <v>20.293203692595402</v>
      </c>
      <c r="F21" s="143">
        <v>0.54270545860314579</v>
      </c>
      <c r="G21" s="11">
        <f t="shared" si="0"/>
        <v>658368.97380252986</v>
      </c>
      <c r="H21" s="115">
        <f t="shared" si="1"/>
        <v>109728162.30042166</v>
      </c>
      <c r="I21" s="13">
        <f t="shared" si="2"/>
        <v>21528.886602987433</v>
      </c>
      <c r="J21" s="116">
        <f t="shared" si="3"/>
        <v>3588147.7671645721</v>
      </c>
      <c r="K21" s="15">
        <f>10^((C21-49.012)/(-4.2834))</f>
        <v>423.16580032574279</v>
      </c>
      <c r="L21" s="13">
        <f t="shared" si="4"/>
        <v>84.633160065148559</v>
      </c>
      <c r="M21" s="118">
        <f t="shared" si="5"/>
        <v>5642.2106710099042</v>
      </c>
    </row>
    <row r="22" spans="1:13" x14ac:dyDescent="0.15">
      <c r="A22" s="6" t="s">
        <v>33</v>
      </c>
      <c r="B22" s="7">
        <v>45389</v>
      </c>
      <c r="C22" s="40">
        <v>37.325782215643102</v>
      </c>
      <c r="D22" s="8">
        <v>15.769953625501699</v>
      </c>
      <c r="E22" s="9">
        <v>19.342089922550802</v>
      </c>
      <c r="F22" s="143">
        <v>0.5205919068325997</v>
      </c>
      <c r="G22" s="11">
        <f t="shared" si="0"/>
        <v>796651.6172056006</v>
      </c>
      <c r="H22" s="115">
        <f t="shared" si="1"/>
        <v>132775269.53426677</v>
      </c>
      <c r="I22" s="13">
        <f t="shared" si="2"/>
        <v>42879.102308822934</v>
      </c>
      <c r="J22" s="116">
        <f t="shared" si="3"/>
        <v>7146517.0514704892</v>
      </c>
      <c r="K22" s="15">
        <f>10^((C22-49.012)/(-4.2834))</f>
        <v>534.88129249333599</v>
      </c>
      <c r="L22" s="13">
        <f t="shared" si="4"/>
        <v>106.97625849866719</v>
      </c>
      <c r="M22" s="118">
        <f t="shared" si="5"/>
        <v>7131.7505665778135</v>
      </c>
    </row>
    <row r="23" spans="1:13" s="126" customFormat="1" x14ac:dyDescent="0.15">
      <c r="A23" s="127" t="s">
        <v>34</v>
      </c>
      <c r="B23" s="121">
        <v>45392</v>
      </c>
      <c r="C23" s="130">
        <v>39.267253857158202</v>
      </c>
      <c r="D23" s="123">
        <v>16.957848711871101</v>
      </c>
      <c r="E23" s="124">
        <v>21.243673053813701</v>
      </c>
      <c r="F23" s="144">
        <v>0.26173116326468959</v>
      </c>
      <c r="G23" s="125">
        <f t="shared" si="0"/>
        <v>364000.55164791626</v>
      </c>
      <c r="H23" s="12">
        <f t="shared" si="1"/>
        <v>60666758.607986048</v>
      </c>
      <c r="I23" s="16">
        <f t="shared" si="2"/>
        <v>10814.344228762982</v>
      </c>
      <c r="J23" s="14">
        <f t="shared" si="3"/>
        <v>1802390.7047938304</v>
      </c>
      <c r="K23" s="131">
        <f>10^((C23-49.012)/(-4.2834))</f>
        <v>188.36603724828782</v>
      </c>
      <c r="L23" s="16">
        <f t="shared" si="4"/>
        <v>37.673207449657568</v>
      </c>
      <c r="M23" s="16">
        <f t="shared" si="5"/>
        <v>2511.5471633105049</v>
      </c>
    </row>
    <row r="24" spans="1:13" x14ac:dyDescent="0.15">
      <c r="A24" s="6" t="s">
        <v>35</v>
      </c>
      <c r="B24" s="7">
        <v>45396</v>
      </c>
      <c r="C24" s="24">
        <v>34.371567357417902</v>
      </c>
      <c r="D24" s="8">
        <v>15.8840426387933</v>
      </c>
      <c r="E24" s="9">
        <v>19.9149408621169</v>
      </c>
      <c r="F24" s="143">
        <v>0.46610365457080161</v>
      </c>
      <c r="G24" s="11">
        <f t="shared" si="0"/>
        <v>738920.71013098606</v>
      </c>
      <c r="H24" s="115">
        <f t="shared" si="1"/>
        <v>123153451.68849769</v>
      </c>
      <c r="I24" s="13">
        <f t="shared" si="2"/>
        <v>28315.519705383482</v>
      </c>
      <c r="J24" s="116">
        <f t="shared" si="3"/>
        <v>4719253.2842305806</v>
      </c>
      <c r="K24" s="15">
        <f>10^((C24-49.012)/(-4.2834))</f>
        <v>2617.8613492258241</v>
      </c>
      <c r="L24" s="13">
        <f t="shared" si="4"/>
        <v>523.57226984516478</v>
      </c>
      <c r="M24" s="118">
        <f t="shared" si="5"/>
        <v>34904.817989677649</v>
      </c>
    </row>
    <row r="25" spans="1:13" x14ac:dyDescent="0.15">
      <c r="A25" s="6" t="s">
        <v>36</v>
      </c>
      <c r="B25" s="7">
        <v>45399</v>
      </c>
      <c r="C25" s="40">
        <v>35.111896809780703</v>
      </c>
      <c r="D25" s="8">
        <v>16.4464975147148</v>
      </c>
      <c r="E25" s="9">
        <v>20.412395239649499</v>
      </c>
      <c r="F25" s="143">
        <v>0.35871173913300003</v>
      </c>
      <c r="G25" s="11">
        <f t="shared" si="0"/>
        <v>509956.22697551979</v>
      </c>
      <c r="H25" s="115">
        <f t="shared" si="1"/>
        <v>84992704.495919973</v>
      </c>
      <c r="I25" s="13">
        <f t="shared" si="2"/>
        <v>19748.014756381173</v>
      </c>
      <c r="J25" s="116">
        <f t="shared" si="3"/>
        <v>3291335.7927301959</v>
      </c>
      <c r="K25" s="15">
        <f>10^((C25-49.012)/(-4.2834))</f>
        <v>1758.3679950115111</v>
      </c>
      <c r="L25" s="13">
        <f t="shared" si="4"/>
        <v>351.67359900230224</v>
      </c>
      <c r="M25" s="118">
        <f t="shared" si="5"/>
        <v>23444.906600153481</v>
      </c>
    </row>
    <row r="26" spans="1:13" x14ac:dyDescent="0.15">
      <c r="A26" s="6" t="s">
        <v>37</v>
      </c>
      <c r="B26" s="7">
        <v>45403</v>
      </c>
      <c r="C26" s="40">
        <v>35.197472261007697</v>
      </c>
      <c r="D26" s="8">
        <v>16.636166126631501</v>
      </c>
      <c r="E26" s="9">
        <v>23.096860911966299</v>
      </c>
      <c r="F26" s="143">
        <v>0.17937298805627988</v>
      </c>
      <c r="G26" s="11">
        <f t="shared" si="0"/>
        <v>450007.00438764202</v>
      </c>
      <c r="H26" s="115">
        <f t="shared" si="1"/>
        <v>75001167.397940338</v>
      </c>
      <c r="I26" s="13">
        <f t="shared" si="2"/>
        <v>2824.7501243701809</v>
      </c>
      <c r="J26" s="116">
        <f t="shared" si="3"/>
        <v>470791.68739503017</v>
      </c>
      <c r="K26" s="15">
        <f>10^((C26-49.012)/(-4.2834))</f>
        <v>1679.3119433162956</v>
      </c>
      <c r="L26" s="13">
        <f t="shared" si="4"/>
        <v>335.86238866325914</v>
      </c>
      <c r="M26" s="118">
        <f t="shared" si="5"/>
        <v>22390.825910883941</v>
      </c>
    </row>
    <row r="27" spans="1:13" x14ac:dyDescent="0.15">
      <c r="A27" s="20" t="s">
        <v>38</v>
      </c>
      <c r="B27" s="7">
        <v>45406</v>
      </c>
      <c r="C27" s="24">
        <v>34.265935933147503</v>
      </c>
      <c r="D27" s="8">
        <v>17.628005957259798</v>
      </c>
      <c r="E27" s="9">
        <v>24.655665137313299</v>
      </c>
      <c r="F27" s="143">
        <v>0.14565114100035736</v>
      </c>
      <c r="G27" s="11">
        <f t="shared" si="0"/>
        <v>233988.96822447696</v>
      </c>
      <c r="H27" s="115">
        <f t="shared" si="1"/>
        <v>38998161.370746158</v>
      </c>
      <c r="I27" s="13">
        <f t="shared" si="2"/>
        <v>913.21729225403737</v>
      </c>
      <c r="J27" s="116">
        <f t="shared" si="3"/>
        <v>152202.88204233957</v>
      </c>
      <c r="K27" s="15">
        <f>10^((C27-49.012)/(-4.2834))</f>
        <v>2770.8134697337919</v>
      </c>
      <c r="L27" s="13">
        <f t="shared" si="4"/>
        <v>554.1626939467584</v>
      </c>
      <c r="M27" s="118">
        <f t="shared" si="5"/>
        <v>36944.179596450558</v>
      </c>
    </row>
    <row r="28" spans="1:13" x14ac:dyDescent="0.15">
      <c r="A28" s="6" t="s">
        <v>39</v>
      </c>
      <c r="B28" s="7">
        <v>45410</v>
      </c>
      <c r="C28" s="40">
        <v>36.5579196340544</v>
      </c>
      <c r="D28" s="8">
        <v>15.685218594210101</v>
      </c>
      <c r="E28" s="9">
        <v>21.016098520129301</v>
      </c>
      <c r="F28" s="143">
        <v>0.41903114156247656</v>
      </c>
      <c r="G28" s="11">
        <f t="shared" si="0"/>
        <v>842428.82814141165</v>
      </c>
      <c r="H28" s="115">
        <f t="shared" si="1"/>
        <v>140404804.69023529</v>
      </c>
      <c r="I28" s="13">
        <f t="shared" si="2"/>
        <v>12752.520440917322</v>
      </c>
      <c r="J28" s="116">
        <f t="shared" si="3"/>
        <v>2125420.0734862206</v>
      </c>
      <c r="K28" s="15">
        <f>10^((C28-49.012)/(-4.2834))</f>
        <v>808.20614346398088</v>
      </c>
      <c r="L28" s="13">
        <f t="shared" si="4"/>
        <v>161.64122869279618</v>
      </c>
      <c r="M28" s="118">
        <f t="shared" si="5"/>
        <v>10776.081912853078</v>
      </c>
    </row>
    <row r="29" spans="1:13" x14ac:dyDescent="0.15">
      <c r="A29" s="6" t="s">
        <v>40</v>
      </c>
      <c r="B29" s="7">
        <v>45413</v>
      </c>
      <c r="C29" s="40">
        <v>35.348964319852797</v>
      </c>
      <c r="D29" s="8">
        <v>16.888490320872499</v>
      </c>
      <c r="E29" s="9">
        <v>21.7465059691026</v>
      </c>
      <c r="F29" s="143">
        <v>0.17676553422768682</v>
      </c>
      <c r="G29" s="11">
        <f t="shared" si="0"/>
        <v>381033.84677734337</v>
      </c>
      <c r="H29" s="115">
        <f t="shared" si="1"/>
        <v>63505641.12955723</v>
      </c>
      <c r="I29" s="13">
        <f t="shared" si="2"/>
        <v>7512.8892413660778</v>
      </c>
      <c r="J29" s="116">
        <f t="shared" si="3"/>
        <v>1252148.2068943463</v>
      </c>
      <c r="K29" s="15">
        <f>10^((C29-49.012)/(-4.2834))</f>
        <v>1547.9756730961319</v>
      </c>
      <c r="L29" s="13">
        <f t="shared" si="4"/>
        <v>309.59513461922637</v>
      </c>
      <c r="M29" s="118">
        <f t="shared" si="5"/>
        <v>20639.675641281759</v>
      </c>
    </row>
    <row r="30" spans="1:13" x14ac:dyDescent="0.15">
      <c r="A30" s="6" t="s">
        <v>41</v>
      </c>
      <c r="B30" s="7">
        <v>45417</v>
      </c>
      <c r="C30" s="40">
        <v>34.402112855145504</v>
      </c>
      <c r="D30" s="8">
        <v>16.3452581870798</v>
      </c>
      <c r="E30" s="9">
        <v>22.754653044891899</v>
      </c>
      <c r="F30" s="143">
        <v>0.35149579078999871</v>
      </c>
      <c r="G30" s="11">
        <f t="shared" si="0"/>
        <v>545159.84345746145</v>
      </c>
      <c r="H30" s="115">
        <f t="shared" si="1"/>
        <v>90859973.909576908</v>
      </c>
      <c r="I30" s="13">
        <f t="shared" si="2"/>
        <v>3619.4282410489113</v>
      </c>
      <c r="J30" s="116">
        <f t="shared" si="3"/>
        <v>603238.0401748186</v>
      </c>
      <c r="K30" s="15">
        <f>10^((C30-49.012)/(-4.2834))</f>
        <v>2575.2269433084884</v>
      </c>
      <c r="L30" s="13">
        <f t="shared" si="4"/>
        <v>515.04538866169764</v>
      </c>
      <c r="M30" s="118">
        <f t="shared" si="5"/>
        <v>34336.359244113184</v>
      </c>
    </row>
    <row r="31" spans="1:13" x14ac:dyDescent="0.15">
      <c r="A31" s="20" t="s">
        <v>42</v>
      </c>
      <c r="B31" s="7">
        <v>45427</v>
      </c>
      <c r="C31" s="24">
        <v>37.840763810165797</v>
      </c>
      <c r="D31" s="8">
        <v>17.927459604502801</v>
      </c>
      <c r="E31" s="9">
        <v>24.187204801550699</v>
      </c>
      <c r="F31" s="143">
        <v>0.52097600183360138</v>
      </c>
      <c r="G31" s="11">
        <f t="shared" si="0"/>
        <v>192062.97140612573</v>
      </c>
      <c r="H31" s="115">
        <f t="shared" si="1"/>
        <v>32010495.234354287</v>
      </c>
      <c r="I31" s="13">
        <f t="shared" si="2"/>
        <v>1282.1935312931635</v>
      </c>
      <c r="J31" s="116">
        <f t="shared" si="3"/>
        <v>213698.92188219391</v>
      </c>
      <c r="K31" s="15">
        <f>10^((C31-49.012)/(-4.2834))</f>
        <v>405.5366543011624</v>
      </c>
      <c r="L31" s="13">
        <f t="shared" si="4"/>
        <v>81.10733086023248</v>
      </c>
      <c r="M31" s="118">
        <f t="shared" si="5"/>
        <v>5407.1553906821655</v>
      </c>
    </row>
    <row r="32" spans="1:13" x14ac:dyDescent="0.15">
      <c r="A32" s="20" t="s">
        <v>43</v>
      </c>
      <c r="B32" s="7">
        <v>45431</v>
      </c>
      <c r="C32" s="24">
        <v>32.193424787511802</v>
      </c>
      <c r="D32" s="8">
        <v>18.467391143180699</v>
      </c>
      <c r="E32" s="9">
        <v>23.723465624178001</v>
      </c>
      <c r="F32" s="143">
        <v>9.6426376035221861E-2</v>
      </c>
      <c r="G32" s="11">
        <f t="shared" si="0"/>
        <v>134532.89913311909</v>
      </c>
      <c r="H32" s="115">
        <f t="shared" si="1"/>
        <v>22422149.85551985</v>
      </c>
      <c r="I32" s="13">
        <f t="shared" si="2"/>
        <v>1794.1045253847681</v>
      </c>
      <c r="J32" s="116">
        <f t="shared" si="3"/>
        <v>299017.42089746136</v>
      </c>
      <c r="K32" s="15">
        <f>10^((C32-49.012)/(-4.2834))</f>
        <v>8442.1779384766614</v>
      </c>
      <c r="L32" s="13">
        <f t="shared" si="4"/>
        <v>1688.4355876953323</v>
      </c>
      <c r="M32" s="118">
        <f t="shared" si="5"/>
        <v>112562.37251302216</v>
      </c>
    </row>
    <row r="33" spans="1:13" x14ac:dyDescent="0.15">
      <c r="A33" s="20" t="s">
        <v>44</v>
      </c>
      <c r="B33" s="7">
        <v>45434</v>
      </c>
      <c r="C33" s="24">
        <v>31.215251924839301</v>
      </c>
      <c r="D33" s="8">
        <v>18.234920013215898</v>
      </c>
      <c r="E33" s="9">
        <v>23.4630866070042</v>
      </c>
      <c r="F33" s="143">
        <v>0</v>
      </c>
      <c r="G33" s="11">
        <f t="shared" si="0"/>
        <v>156819.14559442381</v>
      </c>
      <c r="H33" s="115">
        <f t="shared" si="1"/>
        <v>26136524.265737303</v>
      </c>
      <c r="I33" s="13">
        <f t="shared" si="2"/>
        <v>2166.5264700068628</v>
      </c>
      <c r="J33" s="116">
        <f t="shared" si="3"/>
        <v>361087.74500114383</v>
      </c>
      <c r="K33" s="15">
        <f>10^((C33-49.012)/(-4.2834))</f>
        <v>14282.957787854344</v>
      </c>
      <c r="L33" s="13">
        <f t="shared" si="4"/>
        <v>2856.5915575708686</v>
      </c>
      <c r="M33" s="118">
        <f t="shared" si="5"/>
        <v>190439.43717139124</v>
      </c>
    </row>
    <row r="34" spans="1:13" x14ac:dyDescent="0.15">
      <c r="A34" s="20" t="s">
        <v>45</v>
      </c>
      <c r="B34" s="7">
        <v>45438</v>
      </c>
      <c r="C34" s="24">
        <v>36.217670050015698</v>
      </c>
      <c r="D34" s="8">
        <v>18.5413078752023</v>
      </c>
      <c r="E34" s="9">
        <v>26.310164513651401</v>
      </c>
      <c r="F34" s="143">
        <v>0.61239322112500982</v>
      </c>
      <c r="G34" s="11">
        <f t="shared" si="0"/>
        <v>128133.19585173792</v>
      </c>
      <c r="H34" s="115">
        <f t="shared" si="1"/>
        <v>21355532.641956322</v>
      </c>
      <c r="I34" s="13">
        <f t="shared" si="2"/>
        <v>275.462286158572</v>
      </c>
      <c r="J34" s="116">
        <f t="shared" si="3"/>
        <v>45910.381026428666</v>
      </c>
      <c r="K34" s="15">
        <f>10^((C34-49.012)/(-4.2834))</f>
        <v>970.41301274695945</v>
      </c>
      <c r="L34" s="13">
        <f t="shared" si="4"/>
        <v>194.08260254939188</v>
      </c>
      <c r="M34" s="118">
        <f t="shared" si="5"/>
        <v>12938.840169959458</v>
      </c>
    </row>
    <row r="35" spans="1:13" x14ac:dyDescent="0.15">
      <c r="A35" s="20" t="s">
        <v>46</v>
      </c>
      <c r="B35" s="7">
        <v>45441</v>
      </c>
      <c r="C35" s="24">
        <v>36.869246143773097</v>
      </c>
      <c r="D35" s="8">
        <v>18.443143886975601</v>
      </c>
      <c r="E35" s="9">
        <v>23.201707830723599</v>
      </c>
      <c r="F35" s="143">
        <v>0.52643851536384734</v>
      </c>
      <c r="G35" s="11">
        <f t="shared" si="0"/>
        <v>136701.08482920495</v>
      </c>
      <c r="H35" s="115">
        <f t="shared" si="1"/>
        <v>22783514.138200823</v>
      </c>
      <c r="I35" s="13">
        <f t="shared" si="2"/>
        <v>2618.1515720802458</v>
      </c>
      <c r="J35" s="116">
        <f t="shared" si="3"/>
        <v>436358.59534670768</v>
      </c>
      <c r="K35" s="15">
        <f>10^((C35-49.012)/(-4.2834))</f>
        <v>683.65980491171615</v>
      </c>
      <c r="L35" s="13">
        <f t="shared" si="4"/>
        <v>136.73196098234322</v>
      </c>
      <c r="M35" s="118">
        <f t="shared" si="5"/>
        <v>9115.4640654895484</v>
      </c>
    </row>
    <row r="36" spans="1:13" x14ac:dyDescent="0.15">
      <c r="A36" s="20" t="s">
        <v>47</v>
      </c>
      <c r="B36" s="7">
        <v>45448</v>
      </c>
      <c r="C36" s="24">
        <v>36.331684702487998</v>
      </c>
      <c r="D36" s="8">
        <v>17.768585132434001</v>
      </c>
      <c r="E36" s="9">
        <v>25.240156544702899</v>
      </c>
      <c r="F36" s="143">
        <v>0.61888458893575815</v>
      </c>
      <c r="G36" s="11">
        <f t="shared" si="0"/>
        <v>213274.55254184271</v>
      </c>
      <c r="H36" s="115">
        <f t="shared" si="1"/>
        <v>35545758.756973788</v>
      </c>
      <c r="I36" s="13">
        <f t="shared" si="2"/>
        <v>597.98576011368607</v>
      </c>
      <c r="J36" s="116">
        <f t="shared" si="3"/>
        <v>99664.293352281005</v>
      </c>
      <c r="K36" s="15">
        <f>10^((C36-49.012)/(-4.2834))</f>
        <v>912.72263106922128</v>
      </c>
      <c r="L36" s="13">
        <f t="shared" si="4"/>
        <v>182.54452621384425</v>
      </c>
      <c r="M36" s="118">
        <f t="shared" si="5"/>
        <v>12169.635080922952</v>
      </c>
    </row>
    <row r="37" spans="1:13" x14ac:dyDescent="0.15">
      <c r="A37" s="20" t="s">
        <v>48</v>
      </c>
      <c r="B37" s="7">
        <v>45452</v>
      </c>
      <c r="C37" s="24">
        <v>36.293804964462502</v>
      </c>
      <c r="D37" s="8">
        <v>17.8440484286794</v>
      </c>
      <c r="E37" s="9">
        <v>27.267761528689999</v>
      </c>
      <c r="F37" s="143">
        <v>0.50229871706246954</v>
      </c>
      <c r="G37" s="11">
        <f t="shared" si="0"/>
        <v>202922.08755390349</v>
      </c>
      <c r="H37" s="115">
        <f t="shared" si="1"/>
        <v>33820347.925650582</v>
      </c>
      <c r="I37" s="13">
        <f t="shared" si="2"/>
        <v>137.65702480687307</v>
      </c>
      <c r="J37" s="116">
        <f t="shared" si="3"/>
        <v>22942.83746781218</v>
      </c>
      <c r="K37" s="15">
        <f>10^((C37-49.012)/(-4.2834))</f>
        <v>931.49858607026511</v>
      </c>
      <c r="L37" s="13">
        <f t="shared" si="4"/>
        <v>186.29971721405303</v>
      </c>
      <c r="M37" s="118">
        <f t="shared" si="5"/>
        <v>12419.981147603537</v>
      </c>
    </row>
    <row r="38" spans="1:13" x14ac:dyDescent="0.15">
      <c r="A38" s="20" t="s">
        <v>49</v>
      </c>
      <c r="B38" s="7">
        <v>45455</v>
      </c>
      <c r="C38" s="24">
        <v>37.443659160586797</v>
      </c>
      <c r="D38" s="8">
        <v>17.524762568956799</v>
      </c>
      <c r="E38" s="9">
        <v>23.0364524091801</v>
      </c>
      <c r="F38" s="143">
        <v>0.82054514921828559</v>
      </c>
      <c r="G38" s="11">
        <f t="shared" si="0"/>
        <v>250472.60085450031</v>
      </c>
      <c r="H38" s="115">
        <f t="shared" si="1"/>
        <v>41745433.475750051</v>
      </c>
      <c r="I38" s="13">
        <f t="shared" si="2"/>
        <v>2951.105855551697</v>
      </c>
      <c r="J38" s="116">
        <f t="shared" si="3"/>
        <v>491850.97592528281</v>
      </c>
      <c r="K38" s="15">
        <f>10^((C38-49.012)/(-4.2834))</f>
        <v>502.03954543374789</v>
      </c>
      <c r="L38" s="13">
        <f t="shared" si="4"/>
        <v>100.40790908674958</v>
      </c>
      <c r="M38" s="118">
        <f t="shared" si="5"/>
        <v>6693.8606057833058</v>
      </c>
    </row>
    <row r="39" spans="1:13" x14ac:dyDescent="0.15">
      <c r="A39" s="20" t="s">
        <v>50</v>
      </c>
      <c r="B39" s="7">
        <v>45459</v>
      </c>
      <c r="C39" s="24">
        <v>35.053062589903</v>
      </c>
      <c r="D39" s="8">
        <v>18.4255013224465</v>
      </c>
      <c r="E39" s="9">
        <v>25.365492792098301</v>
      </c>
      <c r="F39" s="143">
        <v>0.13620053114777242</v>
      </c>
      <c r="G39" s="11">
        <f t="shared" si="0"/>
        <v>138300.61048164446</v>
      </c>
      <c r="H39" s="115">
        <f t="shared" si="1"/>
        <v>23050101.746940743</v>
      </c>
      <c r="I39" s="13">
        <f t="shared" si="2"/>
        <v>546.08414606357508</v>
      </c>
      <c r="J39" s="116">
        <f t="shared" si="3"/>
        <v>91014.024343929181</v>
      </c>
      <c r="K39" s="15">
        <f>10^((C39-49.012)/(-4.2834))</f>
        <v>1814.8685387085798</v>
      </c>
      <c r="L39" s="13">
        <f t="shared" si="4"/>
        <v>362.97370774171594</v>
      </c>
      <c r="M39" s="118">
        <f t="shared" si="5"/>
        <v>24198.247182781066</v>
      </c>
    </row>
    <row r="40" spans="1:13" x14ac:dyDescent="0.15">
      <c r="A40" s="6" t="s">
        <v>51</v>
      </c>
      <c r="B40" s="7">
        <v>45462</v>
      </c>
      <c r="C40" s="40">
        <v>37.7844659144357</v>
      </c>
      <c r="D40" s="8">
        <v>16.4464300912379</v>
      </c>
      <c r="E40" s="9">
        <v>24.029745111136901</v>
      </c>
      <c r="F40" s="143">
        <v>0.68535883559256572</v>
      </c>
      <c r="G40" s="11">
        <f t="shared" si="0"/>
        <v>509978.89860391041</v>
      </c>
      <c r="H40" s="115">
        <f t="shared" si="1"/>
        <v>84996483.100651741</v>
      </c>
      <c r="I40" s="13">
        <f t="shared" si="2"/>
        <v>1437.1133255493901</v>
      </c>
      <c r="J40" s="116">
        <f t="shared" si="3"/>
        <v>239518.887591565</v>
      </c>
      <c r="K40" s="15">
        <f>10^((C40-49.012)/(-4.2834))</f>
        <v>417.99721377456973</v>
      </c>
      <c r="L40" s="13">
        <f t="shared" si="4"/>
        <v>83.599442754913952</v>
      </c>
      <c r="M40" s="118">
        <f t="shared" si="5"/>
        <v>5573.2961836609311</v>
      </c>
    </row>
    <row r="41" spans="1:13" s="126" customFormat="1" x14ac:dyDescent="0.15">
      <c r="A41" s="127" t="s">
        <v>52</v>
      </c>
      <c r="B41" s="121">
        <v>45466</v>
      </c>
      <c r="C41" s="130">
        <v>39.473259297560801</v>
      </c>
      <c r="D41" s="123">
        <v>15.8426525180894</v>
      </c>
      <c r="E41" s="124">
        <v>21.369361927131798</v>
      </c>
      <c r="F41" s="144">
        <v>0.84829339618705424</v>
      </c>
      <c r="G41" s="125">
        <f t="shared" si="0"/>
        <v>759364.58798533992</v>
      </c>
      <c r="H41" s="12">
        <f t="shared" si="1"/>
        <v>126560764.66422333</v>
      </c>
      <c r="I41" s="16">
        <f t="shared" si="2"/>
        <v>9873.2009863417188</v>
      </c>
      <c r="J41" s="14">
        <f t="shared" si="3"/>
        <v>1645533.4977236199</v>
      </c>
      <c r="K41" s="119">
        <f>10^((C41-49.012)/(-4.2834))</f>
        <v>168.61984843507875</v>
      </c>
      <c r="L41" s="16">
        <f t="shared" si="4"/>
        <v>33.723969687015753</v>
      </c>
      <c r="M41" s="16">
        <f t="shared" si="5"/>
        <v>2248.2646458010504</v>
      </c>
    </row>
    <row r="42" spans="1:13" x14ac:dyDescent="0.15">
      <c r="A42" s="20" t="s">
        <v>53</v>
      </c>
      <c r="B42" s="7">
        <v>45469</v>
      </c>
      <c r="C42" s="24">
        <v>33.817128359210301</v>
      </c>
      <c r="D42" s="8">
        <v>17.1270629565734</v>
      </c>
      <c r="E42" s="9">
        <v>22.483483315115301</v>
      </c>
      <c r="F42" s="143">
        <v>0.34684601353099964</v>
      </c>
      <c r="G42" s="11">
        <f t="shared" si="0"/>
        <v>325571.02136900637</v>
      </c>
      <c r="H42" s="115">
        <f t="shared" si="1"/>
        <v>54261836.894834399</v>
      </c>
      <c r="I42" s="13">
        <f t="shared" si="2"/>
        <v>4405.0518935144864</v>
      </c>
      <c r="J42" s="116">
        <f t="shared" si="3"/>
        <v>734175.31558574783</v>
      </c>
      <c r="K42" s="15">
        <f>10^((C42-49.012)/(-4.2834))</f>
        <v>3526.8390256653138</v>
      </c>
      <c r="L42" s="13">
        <f t="shared" si="4"/>
        <v>705.3678051330628</v>
      </c>
      <c r="M42" s="118">
        <f t="shared" si="5"/>
        <v>47024.520342204189</v>
      </c>
    </row>
    <row r="43" spans="1:13" s="126" customFormat="1" x14ac:dyDescent="0.15">
      <c r="A43" s="127" t="s">
        <v>54</v>
      </c>
      <c r="B43" s="121">
        <v>45473</v>
      </c>
      <c r="C43" s="130">
        <v>40</v>
      </c>
      <c r="D43" s="123">
        <v>16.339544413576299</v>
      </c>
      <c r="E43" s="124">
        <v>21.248452375654999</v>
      </c>
      <c r="F43" s="144">
        <v>0.89116063895348907</v>
      </c>
      <c r="G43" s="125">
        <f t="shared" si="0"/>
        <v>547217.6012390973</v>
      </c>
      <c r="H43" s="12">
        <f t="shared" si="1"/>
        <v>91202933.53984955</v>
      </c>
      <c r="I43" s="16">
        <f t="shared" si="2"/>
        <v>10776.968067379365</v>
      </c>
      <c r="J43" s="14">
        <f t="shared" si="3"/>
        <v>1796161.3445632276</v>
      </c>
      <c r="K43" s="119">
        <f>10^((C43-49.012)/(-4.2834))</f>
        <v>127.03872474166116</v>
      </c>
      <c r="L43" s="16">
        <f t="shared" si="4"/>
        <v>25.40774494833223</v>
      </c>
      <c r="M43" s="16">
        <f t="shared" si="5"/>
        <v>1693.8496632221488</v>
      </c>
    </row>
    <row r="44" spans="1:13" x14ac:dyDescent="0.15">
      <c r="A44" s="6" t="s">
        <v>55</v>
      </c>
      <c r="B44" s="21" t="s">
        <v>56</v>
      </c>
      <c r="C44" s="24">
        <v>36.135970492812</v>
      </c>
      <c r="D44" s="8">
        <v>16.156192391999301</v>
      </c>
      <c r="E44" s="9">
        <v>22.004955960622802</v>
      </c>
      <c r="F44" s="22">
        <v>0.95249260156963711</v>
      </c>
      <c r="G44" s="11">
        <f t="shared" si="0"/>
        <v>617539.66907195491</v>
      </c>
      <c r="H44" s="115">
        <f t="shared" si="1"/>
        <v>102923278.17865916</v>
      </c>
      <c r="I44" s="13">
        <f t="shared" si="2"/>
        <v>6230.1371525967697</v>
      </c>
      <c r="J44" s="116">
        <f t="shared" si="3"/>
        <v>1038356.1920994618</v>
      </c>
      <c r="K44" s="15">
        <f>10^((C44-49.012)/(-4.2834))</f>
        <v>1013.981756546557</v>
      </c>
      <c r="L44" s="13">
        <f t="shared" si="4"/>
        <v>202.7963513093114</v>
      </c>
      <c r="M44" s="118">
        <f t="shared" si="5"/>
        <v>13519.756753954094</v>
      </c>
    </row>
    <row r="45" spans="1:13" x14ac:dyDescent="0.15">
      <c r="A45" s="6" t="s">
        <v>57</v>
      </c>
      <c r="B45" s="23">
        <v>45480</v>
      </c>
      <c r="C45" s="24">
        <v>37.3079857315631</v>
      </c>
      <c r="D45" s="8">
        <v>16.764612970318499</v>
      </c>
      <c r="E45" s="9">
        <v>24.300758640678001</v>
      </c>
      <c r="F45" s="22">
        <v>0.78674025941011805</v>
      </c>
      <c r="G45" s="11">
        <f t="shared" si="0"/>
        <v>413463.47743882576</v>
      </c>
      <c r="H45" s="115">
        <f t="shared" si="1"/>
        <v>68910579.573137626</v>
      </c>
      <c r="I45" s="13">
        <f t="shared" si="2"/>
        <v>1180.9434434575612</v>
      </c>
      <c r="J45" s="116">
        <f t="shared" si="3"/>
        <v>196823.90724292689</v>
      </c>
      <c r="K45" s="15">
        <f>10^((C45-49.012)/(-4.2834))</f>
        <v>540.02288566178618</v>
      </c>
      <c r="L45" s="13">
        <f t="shared" si="4"/>
        <v>108.00457713235724</v>
      </c>
      <c r="M45" s="118">
        <f t="shared" si="5"/>
        <v>7200.305142157149</v>
      </c>
    </row>
    <row r="46" spans="1:13" x14ac:dyDescent="0.15">
      <c r="A46" s="6" t="s">
        <v>58</v>
      </c>
      <c r="B46" s="23">
        <v>45483</v>
      </c>
      <c r="C46" s="24">
        <v>36.231310527574401</v>
      </c>
      <c r="D46" s="8">
        <v>16.605193396494499</v>
      </c>
      <c r="E46" s="9">
        <v>21.627941203487801</v>
      </c>
      <c r="F46" s="22">
        <v>0.77320726714036969</v>
      </c>
      <c r="G46" s="11">
        <f t="shared" si="0"/>
        <v>459291.7500573172</v>
      </c>
      <c r="H46" s="115">
        <f t="shared" si="1"/>
        <v>76548625.009552866</v>
      </c>
      <c r="I46" s="13">
        <f t="shared" si="2"/>
        <v>8186.6820834661858</v>
      </c>
      <c r="J46" s="116">
        <f t="shared" si="3"/>
        <v>1364447.013911031</v>
      </c>
      <c r="K46" s="15">
        <f>10^((C46-49.012)/(-4.2834))</f>
        <v>963.32340891516765</v>
      </c>
      <c r="L46" s="13">
        <f t="shared" si="4"/>
        <v>192.66468178303353</v>
      </c>
      <c r="M46" s="118">
        <f t="shared" si="5"/>
        <v>12844.312118868902</v>
      </c>
    </row>
    <row r="47" spans="1:13" x14ac:dyDescent="0.15">
      <c r="A47" s="6" t="s">
        <v>59</v>
      </c>
      <c r="B47" s="23">
        <v>45484</v>
      </c>
      <c r="C47" s="24">
        <v>30.211532352484902</v>
      </c>
      <c r="D47" s="8">
        <v>17.122174698593099</v>
      </c>
      <c r="E47" s="9">
        <v>22.8368601874562</v>
      </c>
      <c r="F47" s="22">
        <v>0.79955731553927589</v>
      </c>
      <c r="G47" s="11">
        <f t="shared" si="0"/>
        <v>326622.08489938796</v>
      </c>
      <c r="H47" s="115">
        <f t="shared" si="1"/>
        <v>54437014.149897993</v>
      </c>
      <c r="I47" s="13">
        <f t="shared" si="2"/>
        <v>3410.1798343333071</v>
      </c>
      <c r="J47" s="116">
        <f t="shared" si="3"/>
        <v>568363.30572221789</v>
      </c>
      <c r="K47" s="15">
        <f>10^((C47-49.012)/(-4.2834))</f>
        <v>24498.862668931444</v>
      </c>
      <c r="L47" s="13">
        <f t="shared" si="4"/>
        <v>4899.7725337862885</v>
      </c>
      <c r="M47" s="118">
        <f t="shared" si="5"/>
        <v>326651.50225241925</v>
      </c>
    </row>
    <row r="48" spans="1:13" x14ac:dyDescent="0.15">
      <c r="A48" s="6" t="s">
        <v>60</v>
      </c>
      <c r="B48" s="23">
        <v>45490</v>
      </c>
      <c r="C48" s="24">
        <v>33.843644089903101</v>
      </c>
      <c r="D48" s="8">
        <v>16.3507553543357</v>
      </c>
      <c r="E48" s="9">
        <v>21.583166014623799</v>
      </c>
      <c r="F48" s="22">
        <v>0.79242317965848852</v>
      </c>
      <c r="G48" s="11">
        <f t="shared" si="0"/>
        <v>543187.39811429323</v>
      </c>
      <c r="H48" s="115">
        <f t="shared" si="1"/>
        <v>90531233.01904887</v>
      </c>
      <c r="I48" s="13">
        <f t="shared" si="2"/>
        <v>8456.5724752103852</v>
      </c>
      <c r="J48" s="116">
        <f t="shared" si="3"/>
        <v>1409428.7458683976</v>
      </c>
      <c r="K48" s="15">
        <f>10^((C48-49.012)/(-4.2834))</f>
        <v>3476.9247472924171</v>
      </c>
      <c r="L48" s="13">
        <f t="shared" si="4"/>
        <v>695.38494945848345</v>
      </c>
      <c r="M48" s="118">
        <f t="shared" si="5"/>
        <v>46358.996630565562</v>
      </c>
    </row>
    <row r="49" spans="1:13" x14ac:dyDescent="0.15">
      <c r="A49" s="6" t="s">
        <v>61</v>
      </c>
      <c r="B49" s="23">
        <v>45494</v>
      </c>
      <c r="C49" s="24">
        <v>34.317101006452603</v>
      </c>
      <c r="D49" s="8">
        <v>17.1255072248427</v>
      </c>
      <c r="E49" s="9">
        <v>22.516314430924702</v>
      </c>
      <c r="F49" s="22">
        <v>0.91517282022246527</v>
      </c>
      <c r="G49" s="11">
        <f t="shared" si="0"/>
        <v>325905.16426928871</v>
      </c>
      <c r="H49" s="115">
        <f t="shared" si="1"/>
        <v>54317527.378214784</v>
      </c>
      <c r="I49" s="13">
        <f t="shared" si="2"/>
        <v>4301.5228222106853</v>
      </c>
      <c r="J49" s="116">
        <f t="shared" si="3"/>
        <v>716920.4703684476</v>
      </c>
      <c r="K49" s="15">
        <f>10^((C49-49.012)/(-4.2834))</f>
        <v>2695.6426731385841</v>
      </c>
      <c r="L49" s="13">
        <f t="shared" si="4"/>
        <v>539.12853462771682</v>
      </c>
      <c r="M49" s="118">
        <f t="shared" si="5"/>
        <v>35941.902308514458</v>
      </c>
    </row>
    <row r="50" spans="1:13" x14ac:dyDescent="0.15">
      <c r="A50" s="20" t="s">
        <v>62</v>
      </c>
      <c r="B50" s="7">
        <v>45497</v>
      </c>
      <c r="C50" s="24">
        <v>35.418199283548901</v>
      </c>
      <c r="D50" s="8">
        <v>18.196147894591899</v>
      </c>
      <c r="E50" s="9">
        <v>24.779973094623202</v>
      </c>
      <c r="F50" s="143">
        <v>0.33020890431562766</v>
      </c>
      <c r="G50" s="11">
        <f t="shared" si="0"/>
        <v>160879.93871204869</v>
      </c>
      <c r="H50" s="115">
        <f t="shared" si="1"/>
        <v>26813323.118674785</v>
      </c>
      <c r="I50" s="13">
        <f t="shared" si="2"/>
        <v>834.57689382162857</v>
      </c>
      <c r="J50" s="116">
        <f t="shared" si="3"/>
        <v>139096.14897027143</v>
      </c>
      <c r="K50" s="15">
        <f>10^((C50-49.012)/(-4.2834))</f>
        <v>1491.4221135359305</v>
      </c>
      <c r="L50" s="13">
        <f t="shared" si="4"/>
        <v>298.28442270718608</v>
      </c>
      <c r="M50" s="118">
        <f t="shared" si="5"/>
        <v>19885.628180479071</v>
      </c>
    </row>
    <row r="51" spans="1:13" x14ac:dyDescent="0.15">
      <c r="A51" s="6" t="s">
        <v>63</v>
      </c>
      <c r="B51" s="23">
        <v>45501</v>
      </c>
      <c r="C51" s="24">
        <v>34.823170341262497</v>
      </c>
      <c r="D51" s="8">
        <v>17.402609277812299</v>
      </c>
      <c r="E51" s="9">
        <v>20.514003701208299</v>
      </c>
      <c r="F51" s="22">
        <v>0.871640143822351</v>
      </c>
      <c r="G51" s="11">
        <f t="shared" si="0"/>
        <v>271481.42514895153</v>
      </c>
      <c r="H51" s="115">
        <f t="shared" si="1"/>
        <v>45246904.191491924</v>
      </c>
      <c r="I51" s="13">
        <f t="shared" si="2"/>
        <v>18346.660452066866</v>
      </c>
      <c r="J51" s="116">
        <f t="shared" si="3"/>
        <v>3057776.7420111448</v>
      </c>
      <c r="K51" s="15">
        <f>10^((C51-49.012)/(-4.2834))</f>
        <v>2053.5991638687428</v>
      </c>
      <c r="L51" s="13">
        <f t="shared" si="4"/>
        <v>410.71983277374858</v>
      </c>
      <c r="M51" s="118">
        <f t="shared" si="5"/>
        <v>27381.322184916571</v>
      </c>
    </row>
    <row r="52" spans="1:13" x14ac:dyDescent="0.15">
      <c r="A52" s="6" t="s">
        <v>64</v>
      </c>
      <c r="B52" s="23">
        <v>45508</v>
      </c>
      <c r="C52" s="24">
        <v>37.289078734720597</v>
      </c>
      <c r="D52" s="8">
        <v>17.616157902969402</v>
      </c>
      <c r="E52" s="9">
        <v>24.292621653896699</v>
      </c>
      <c r="F52" s="22">
        <v>0.78678350402076147</v>
      </c>
      <c r="G52" s="11">
        <f t="shared" si="0"/>
        <v>235824.10715144989</v>
      </c>
      <c r="H52" s="115">
        <f t="shared" si="1"/>
        <v>39304017.858574979</v>
      </c>
      <c r="I52" s="13">
        <f t="shared" si="2"/>
        <v>1187.9250137038641</v>
      </c>
      <c r="J52" s="116">
        <f t="shared" si="3"/>
        <v>197987.50228397734</v>
      </c>
      <c r="K52" s="15">
        <f>10^((C52-49.012)/(-4.2834))</f>
        <v>545.53947493457281</v>
      </c>
      <c r="L52" s="13">
        <f t="shared" si="4"/>
        <v>109.10789498691456</v>
      </c>
      <c r="M52" s="118">
        <f t="shared" si="5"/>
        <v>7273.8596657943044</v>
      </c>
    </row>
    <row r="53" spans="1:13" x14ac:dyDescent="0.15">
      <c r="A53" s="6" t="s">
        <v>65</v>
      </c>
      <c r="B53" s="23">
        <v>45511</v>
      </c>
      <c r="C53" s="24">
        <v>36.809118979060003</v>
      </c>
      <c r="D53" s="8">
        <v>16.845636005265298</v>
      </c>
      <c r="E53" s="9">
        <v>21.276153670663</v>
      </c>
      <c r="F53" s="22">
        <v>0.94450193313427511</v>
      </c>
      <c r="G53" s="11">
        <f t="shared" si="0"/>
        <v>391954.21993896773</v>
      </c>
      <c r="H53" s="115">
        <f t="shared" si="1"/>
        <v>65325703.323161297</v>
      </c>
      <c r="I53" s="13">
        <f t="shared" si="2"/>
        <v>10562.863320119846</v>
      </c>
      <c r="J53" s="116">
        <f t="shared" si="3"/>
        <v>1760477.2200199745</v>
      </c>
      <c r="K53" s="15">
        <f>10^((C53-49.012)/(-4.2834))</f>
        <v>706.11802630357772</v>
      </c>
      <c r="L53" s="13">
        <f t="shared" si="4"/>
        <v>141.22360526071554</v>
      </c>
      <c r="M53" s="118">
        <f t="shared" si="5"/>
        <v>9414.907017381036</v>
      </c>
    </row>
    <row r="54" spans="1:13" x14ac:dyDescent="0.15">
      <c r="A54" s="6" t="s">
        <v>66</v>
      </c>
      <c r="B54" s="21" t="s">
        <v>67</v>
      </c>
      <c r="C54" s="24">
        <v>38.214472500033999</v>
      </c>
      <c r="D54" s="8">
        <v>18.0226333717779</v>
      </c>
      <c r="E54" s="9">
        <v>23.106799799798399</v>
      </c>
      <c r="F54" s="22">
        <v>0.8601745115863052</v>
      </c>
      <c r="G54" s="11">
        <f t="shared" si="0"/>
        <v>180380.51494160987</v>
      </c>
      <c r="H54" s="115">
        <f t="shared" si="1"/>
        <v>30063419.15693498</v>
      </c>
      <c r="I54" s="13">
        <f t="shared" si="2"/>
        <v>2804.4856582313651</v>
      </c>
      <c r="J54" s="116">
        <f t="shared" si="3"/>
        <v>467414.27637189417</v>
      </c>
      <c r="K54" s="15">
        <f>10^((C54-49.012)/(-4.2834))</f>
        <v>331.72966248939861</v>
      </c>
      <c r="L54" s="13">
        <f t="shared" si="4"/>
        <v>66.345932497879716</v>
      </c>
      <c r="M54" s="118">
        <f t="shared" si="5"/>
        <v>4423.0621665253148</v>
      </c>
    </row>
    <row r="55" spans="1:13" x14ac:dyDescent="0.15">
      <c r="A55" s="6" t="s">
        <v>68</v>
      </c>
      <c r="B55" s="23">
        <v>45515</v>
      </c>
      <c r="C55" s="24">
        <v>38.126559491449498</v>
      </c>
      <c r="D55" s="8">
        <v>17.958267996477002</v>
      </c>
      <c r="E55" s="9">
        <v>21.795647724228299</v>
      </c>
      <c r="F55" s="22">
        <v>0.90983148932892166</v>
      </c>
      <c r="G55" s="11">
        <f t="shared" si="0"/>
        <v>188200.74255597455</v>
      </c>
      <c r="H55" s="115">
        <f t="shared" si="1"/>
        <v>31366790.425995756</v>
      </c>
      <c r="I55" s="13">
        <f t="shared" si="2"/>
        <v>7250.1467603459996</v>
      </c>
      <c r="J55" s="116">
        <f t="shared" si="3"/>
        <v>1208357.793391</v>
      </c>
      <c r="K55" s="15">
        <f>10^((C55-49.012)/(-4.2834))</f>
        <v>347.78306069935741</v>
      </c>
      <c r="L55" s="13">
        <f t="shared" si="4"/>
        <v>69.556612139871476</v>
      </c>
      <c r="M55" s="118">
        <f t="shared" si="5"/>
        <v>4637.1074759914327</v>
      </c>
    </row>
    <row r="56" spans="1:13" x14ac:dyDescent="0.15">
      <c r="A56" s="6" t="s">
        <v>69</v>
      </c>
      <c r="B56" s="21" t="s">
        <v>70</v>
      </c>
      <c r="C56" s="24">
        <v>38.280502717164602</v>
      </c>
      <c r="D56" s="8">
        <v>18.050851082411398</v>
      </c>
      <c r="E56" s="9">
        <v>24.484480478832602</v>
      </c>
      <c r="F56" s="22">
        <v>0.9192676416046075</v>
      </c>
      <c r="G56" s="11">
        <f t="shared" si="0"/>
        <v>177055.40156245077</v>
      </c>
      <c r="H56" s="115">
        <f t="shared" si="1"/>
        <v>29509233.593741801</v>
      </c>
      <c r="I56" s="13">
        <f t="shared" si="2"/>
        <v>1033.7832472203374</v>
      </c>
      <c r="J56" s="116">
        <f t="shared" si="3"/>
        <v>172297.20787005627</v>
      </c>
      <c r="K56" s="15">
        <f>10^((C56-49.012)/(-4.2834))</f>
        <v>320.16137162375196</v>
      </c>
      <c r="L56" s="13">
        <f t="shared" si="4"/>
        <v>64.032274324750389</v>
      </c>
      <c r="M56" s="118">
        <f t="shared" si="5"/>
        <v>4268.8182883166928</v>
      </c>
    </row>
    <row r="57" spans="1:13" x14ac:dyDescent="0.15">
      <c r="A57" s="20" t="s">
        <v>71</v>
      </c>
      <c r="B57" s="7">
        <v>45525</v>
      </c>
      <c r="C57" s="24">
        <v>35.318757467421896</v>
      </c>
      <c r="D57" s="8">
        <v>18.932111271064699</v>
      </c>
      <c r="E57" s="9">
        <v>26.945665020363801</v>
      </c>
      <c r="F57" s="22">
        <v>0.67920298018596503</v>
      </c>
      <c r="G57" s="11">
        <f t="shared" si="0"/>
        <v>99026.389901097602</v>
      </c>
      <c r="H57" s="115">
        <f t="shared" si="1"/>
        <v>16504398.316849601</v>
      </c>
      <c r="I57" s="13">
        <f t="shared" si="2"/>
        <v>173.83259001365121</v>
      </c>
      <c r="J57" s="116">
        <f t="shared" si="3"/>
        <v>28972.098335608534</v>
      </c>
      <c r="K57" s="15">
        <f>10^((C57-49.012)/(-4.2834))</f>
        <v>1573.3168902087884</v>
      </c>
      <c r="L57" s="13">
        <f t="shared" si="4"/>
        <v>314.66337804175771</v>
      </c>
      <c r="M57" s="118">
        <f t="shared" si="5"/>
        <v>20977.558536117183</v>
      </c>
    </row>
    <row r="58" spans="1:13" x14ac:dyDescent="0.15">
      <c r="A58" s="6" t="s">
        <v>71</v>
      </c>
      <c r="B58" s="23">
        <v>45525</v>
      </c>
      <c r="C58" s="24">
        <v>36.364913500069903</v>
      </c>
      <c r="D58" s="8">
        <v>17.140699861261702</v>
      </c>
      <c r="E58" s="9">
        <v>23.869972156153398</v>
      </c>
      <c r="F58" s="143">
        <v>0.48872919730305386</v>
      </c>
      <c r="G58" s="11">
        <f t="shared" si="0"/>
        <v>322656.68624329712</v>
      </c>
      <c r="H58" s="115">
        <f t="shared" si="1"/>
        <v>53776114.373882852</v>
      </c>
      <c r="I58" s="13">
        <f t="shared" si="2"/>
        <v>1613.4526077413138</v>
      </c>
      <c r="J58" s="116">
        <f t="shared" si="3"/>
        <v>268908.76795688568</v>
      </c>
      <c r="K58" s="15">
        <f>10^((C58-49.012)/(-4.2834))</f>
        <v>896.56389126839701</v>
      </c>
      <c r="L58" s="13">
        <f t="shared" si="4"/>
        <v>179.3127782536794</v>
      </c>
      <c r="M58" s="118">
        <f t="shared" si="5"/>
        <v>11954.185216911961</v>
      </c>
    </row>
    <row r="59" spans="1:13" x14ac:dyDescent="0.15">
      <c r="A59" s="6" t="s">
        <v>72</v>
      </c>
      <c r="B59" s="21" t="s">
        <v>73</v>
      </c>
      <c r="C59" s="24">
        <v>35.247330200967198</v>
      </c>
      <c r="D59" s="8">
        <v>16.363210918195001</v>
      </c>
      <c r="E59" s="9">
        <v>22.5482319023629</v>
      </c>
      <c r="F59" s="22">
        <v>0.48451889177454477</v>
      </c>
      <c r="G59" s="11">
        <f t="shared" si="0"/>
        <v>538744.56577511434</v>
      </c>
      <c r="H59" s="115">
        <f t="shared" si="1"/>
        <v>89790760.962519065</v>
      </c>
      <c r="I59" s="13">
        <f t="shared" si="2"/>
        <v>4203.2078835979828</v>
      </c>
      <c r="J59" s="116">
        <f t="shared" si="3"/>
        <v>700534.64726633043</v>
      </c>
      <c r="K59" s="15">
        <f>10^((C59-49.012)/(-4.2834))</f>
        <v>1634.9014232041354</v>
      </c>
      <c r="L59" s="13">
        <f t="shared" si="4"/>
        <v>326.98028464082711</v>
      </c>
      <c r="M59" s="118">
        <f t="shared" si="5"/>
        <v>21798.685642721808</v>
      </c>
    </row>
    <row r="60" spans="1:13" x14ac:dyDescent="0.15">
      <c r="A60" s="6" t="s">
        <v>74</v>
      </c>
      <c r="B60" s="21" t="s">
        <v>75</v>
      </c>
      <c r="C60" s="24">
        <v>39.1972684626842</v>
      </c>
      <c r="D60" s="8">
        <v>17.8883295418361</v>
      </c>
      <c r="E60" s="9">
        <v>21.989645717788001</v>
      </c>
      <c r="F60" s="22">
        <v>0.95939763892934715</v>
      </c>
      <c r="G60" s="11">
        <f t="shared" si="0"/>
        <v>197082.90422542326</v>
      </c>
      <c r="H60" s="115">
        <f t="shared" si="1"/>
        <v>32847150.704237211</v>
      </c>
      <c r="I60" s="13">
        <f t="shared" si="2"/>
        <v>6299.6187913980984</v>
      </c>
      <c r="J60" s="116">
        <f t="shared" si="3"/>
        <v>1049936.4652330165</v>
      </c>
      <c r="K60" s="15">
        <f>10^((C60-49.012)/(-4.2834))</f>
        <v>195.58761444956863</v>
      </c>
      <c r="L60" s="13">
        <f t="shared" si="4"/>
        <v>39.11752288991373</v>
      </c>
      <c r="M60" s="118">
        <f t="shared" si="5"/>
        <v>2607.8348593275823</v>
      </c>
    </row>
    <row r="61" spans="1:13" x14ac:dyDescent="0.15">
      <c r="A61" s="6" t="s">
        <v>76</v>
      </c>
      <c r="B61" s="21" t="s">
        <v>77</v>
      </c>
      <c r="C61" s="24">
        <v>37.297007135722403</v>
      </c>
      <c r="D61" s="8">
        <v>16.820762904327101</v>
      </c>
      <c r="E61" s="9">
        <v>21.6999967905451</v>
      </c>
      <c r="F61" s="22">
        <v>0.53640280450740097</v>
      </c>
      <c r="G61" s="11">
        <f t="shared" si="0"/>
        <v>398435.49569817475</v>
      </c>
      <c r="H61" s="115">
        <f t="shared" si="1"/>
        <v>66405915.949695796</v>
      </c>
      <c r="I61" s="13">
        <f t="shared" si="2"/>
        <v>7770.3209208894095</v>
      </c>
      <c r="J61" s="116">
        <f t="shared" si="3"/>
        <v>1295053.4868149015</v>
      </c>
      <c r="K61" s="15">
        <f>10^((C61-49.012)/(-4.2834))</f>
        <v>543.2193375910075</v>
      </c>
      <c r="L61" s="13">
        <f t="shared" si="4"/>
        <v>108.6438675182015</v>
      </c>
      <c r="M61" s="118">
        <f t="shared" si="5"/>
        <v>7242.9245012134334</v>
      </c>
    </row>
    <row r="62" spans="1:13" x14ac:dyDescent="0.15">
      <c r="A62" s="6" t="s">
        <v>78</v>
      </c>
      <c r="B62" s="23">
        <v>45543</v>
      </c>
      <c r="C62" s="24">
        <v>28.805827099077899</v>
      </c>
      <c r="D62" s="8">
        <v>17.287817514831101</v>
      </c>
      <c r="E62" s="9">
        <v>23.061196926114299</v>
      </c>
      <c r="F62" s="22">
        <v>0.2740299567764658</v>
      </c>
      <c r="G62" s="11">
        <f t="shared" si="0"/>
        <v>292827.56987801945</v>
      </c>
      <c r="H62" s="115">
        <f t="shared" si="1"/>
        <v>48804594.979669914</v>
      </c>
      <c r="I62" s="13">
        <f t="shared" si="2"/>
        <v>2898.6786112709347</v>
      </c>
      <c r="J62" s="116">
        <f t="shared" si="3"/>
        <v>483113.10187848919</v>
      </c>
      <c r="K62" s="15">
        <f>10^((C62-49.012)/(-4.2834))</f>
        <v>52158.012037366992</v>
      </c>
      <c r="L62" s="13">
        <f t="shared" si="4"/>
        <v>10431.602407473398</v>
      </c>
      <c r="M62" s="118">
        <f t="shared" si="5"/>
        <v>695440.16049822664</v>
      </c>
    </row>
    <row r="63" spans="1:13" x14ac:dyDescent="0.15">
      <c r="A63" s="6" t="s">
        <v>79</v>
      </c>
      <c r="B63" s="23">
        <v>45546</v>
      </c>
      <c r="C63" s="24">
        <v>37.147685433063103</v>
      </c>
      <c r="D63" s="8">
        <v>16.8054349108879</v>
      </c>
      <c r="E63" s="9">
        <v>20.645754054375999</v>
      </c>
      <c r="F63" s="22">
        <v>0.83808926231189729</v>
      </c>
      <c r="G63" s="11">
        <f t="shared" si="0"/>
        <v>402482.82797140273</v>
      </c>
      <c r="H63" s="115">
        <f t="shared" si="1"/>
        <v>67080471.328567117</v>
      </c>
      <c r="I63" s="13">
        <f t="shared" si="2"/>
        <v>16676.61284994581</v>
      </c>
      <c r="J63" s="116">
        <f t="shared" si="3"/>
        <v>2779435.4749909686</v>
      </c>
      <c r="K63" s="15">
        <f>10^((C63-49.012)/(-4.2834))</f>
        <v>588.62103353770169</v>
      </c>
      <c r="L63" s="13">
        <f t="shared" si="4"/>
        <v>117.72420670754033</v>
      </c>
      <c r="M63" s="118">
        <f t="shared" si="5"/>
        <v>7848.2804471693562</v>
      </c>
    </row>
    <row r="64" spans="1:13" x14ac:dyDescent="0.15">
      <c r="A64" s="6" t="s">
        <v>80</v>
      </c>
      <c r="B64" s="23">
        <v>45550</v>
      </c>
      <c r="C64" s="24">
        <v>34.441804799213003</v>
      </c>
      <c r="D64" s="8">
        <v>16.070481623272901</v>
      </c>
      <c r="E64" s="9">
        <v>22.628355321676199</v>
      </c>
      <c r="F64" s="22">
        <v>0.69608647466179097</v>
      </c>
      <c r="G64" s="11">
        <f t="shared" si="0"/>
        <v>653445.01856424927</v>
      </c>
      <c r="H64" s="115">
        <f t="shared" si="1"/>
        <v>108907503.09404156</v>
      </c>
      <c r="I64" s="13">
        <f t="shared" si="2"/>
        <v>3966.1919498837556</v>
      </c>
      <c r="J64" s="116">
        <f t="shared" si="3"/>
        <v>661031.99164729263</v>
      </c>
      <c r="K64" s="15">
        <f>10^((C64-49.012)/(-4.2834))</f>
        <v>2520.8618742595113</v>
      </c>
      <c r="L64" s="13">
        <f t="shared" si="4"/>
        <v>504.17237485190225</v>
      </c>
      <c r="M64" s="118">
        <f t="shared" si="5"/>
        <v>33611.491656793485</v>
      </c>
    </row>
    <row r="65" spans="1:13" x14ac:dyDescent="0.15">
      <c r="A65" s="6" t="s">
        <v>81</v>
      </c>
      <c r="B65" s="21" t="s">
        <v>82</v>
      </c>
      <c r="C65" s="24">
        <v>35.437690584596297</v>
      </c>
      <c r="D65" s="8">
        <v>15.783472029918199</v>
      </c>
      <c r="E65" s="9">
        <v>21.1745027454098</v>
      </c>
      <c r="F65" s="22">
        <v>0.72376616911985647</v>
      </c>
      <c r="G65" s="11">
        <f t="shared" si="0"/>
        <v>789582.11617694818</v>
      </c>
      <c r="H65" s="115">
        <f t="shared" si="1"/>
        <v>131597019.36282471</v>
      </c>
      <c r="I65" s="13">
        <f t="shared" si="2"/>
        <v>11370.025510931173</v>
      </c>
      <c r="J65" s="116">
        <f t="shared" si="3"/>
        <v>1895004.2518218623</v>
      </c>
      <c r="K65" s="15">
        <f>10^((C65-49.012)/(-4.2834))</f>
        <v>1475.8769520951225</v>
      </c>
      <c r="L65" s="13">
        <f t="shared" si="4"/>
        <v>295.1753904190245</v>
      </c>
      <c r="M65" s="118">
        <f t="shared" si="5"/>
        <v>19678.3593612683</v>
      </c>
    </row>
    <row r="66" spans="1:13" s="126" customFormat="1" x14ac:dyDescent="0.15">
      <c r="A66" s="127" t="s">
        <v>83</v>
      </c>
      <c r="B66" s="129">
        <v>45557</v>
      </c>
      <c r="C66" s="120">
        <v>40</v>
      </c>
      <c r="D66" s="123">
        <v>16.788770478053902</v>
      </c>
      <c r="E66" s="124">
        <v>24.2212648712425</v>
      </c>
      <c r="F66" s="145">
        <v>0.89400891397170412</v>
      </c>
      <c r="G66" s="125">
        <f t="shared" si="0"/>
        <v>406929.70493681834</v>
      </c>
      <c r="H66" s="12">
        <f t="shared" si="1"/>
        <v>67821617.489469722</v>
      </c>
      <c r="I66" s="16">
        <f t="shared" si="2"/>
        <v>1250.9448119308508</v>
      </c>
      <c r="J66" s="14">
        <f t="shared" si="3"/>
        <v>208490.80198847514</v>
      </c>
      <c r="K66" s="119">
        <f>10^((C66-49.012)/(-4.2834))</f>
        <v>127.03872474166116</v>
      </c>
      <c r="L66" s="16">
        <f t="shared" si="4"/>
        <v>25.40774494833223</v>
      </c>
      <c r="M66" s="16">
        <f t="shared" si="5"/>
        <v>1693.8496632221488</v>
      </c>
    </row>
    <row r="67" spans="1:13" x14ac:dyDescent="0.15">
      <c r="A67" s="20" t="s">
        <v>84</v>
      </c>
      <c r="B67" s="7">
        <v>45560</v>
      </c>
      <c r="C67" s="24">
        <v>36.701249424091003</v>
      </c>
      <c r="D67" s="8">
        <v>19.117586054767099</v>
      </c>
      <c r="E67" s="9">
        <v>26.2127646425146</v>
      </c>
      <c r="F67" s="143">
        <v>0.54443051730969594</v>
      </c>
      <c r="G67" s="11">
        <f t="shared" si="0"/>
        <v>87627.065585461649</v>
      </c>
      <c r="H67" s="115">
        <f t="shared" si="1"/>
        <v>14604510.930910276</v>
      </c>
      <c r="I67" s="13">
        <f t="shared" si="2"/>
        <v>295.60006701324664</v>
      </c>
      <c r="J67" s="116">
        <f t="shared" si="3"/>
        <v>49266.677835541115</v>
      </c>
      <c r="K67" s="15">
        <f>10^((C67-49.012)/(-4.2834))</f>
        <v>748.27366427229504</v>
      </c>
      <c r="L67" s="13">
        <f t="shared" si="4"/>
        <v>149.65473285445901</v>
      </c>
      <c r="M67" s="118">
        <f t="shared" si="5"/>
        <v>9976.9821902972672</v>
      </c>
    </row>
    <row r="68" spans="1:13" s="126" customFormat="1" x14ac:dyDescent="0.15">
      <c r="A68" s="127" t="s">
        <v>85</v>
      </c>
      <c r="B68" s="129">
        <v>45564</v>
      </c>
      <c r="C68" s="122">
        <v>39.388130882947799</v>
      </c>
      <c r="D68" s="123">
        <v>15.7546196836512</v>
      </c>
      <c r="E68" s="124">
        <v>21.573142450622701</v>
      </c>
      <c r="F68" s="145">
        <v>0.94071001918633557</v>
      </c>
      <c r="G68" s="125">
        <f t="shared" ref="G68:G103" si="6">(10^((D68-37.429)/-3.4921))/2</f>
        <v>804747.20971082139</v>
      </c>
      <c r="H68" s="12">
        <f t="shared" ref="H68:H103" si="7">G68*(50/2)*(1000/150)</f>
        <v>134124534.95180357</v>
      </c>
      <c r="I68" s="16">
        <f t="shared" ref="I68:I103" si="8">(10^((E68-35.023)/-3.1786))/2</f>
        <v>8518.1999017813123</v>
      </c>
      <c r="J68" s="14">
        <f t="shared" ref="J68:J103" si="9">I68*(50/2)*(1000/150)</f>
        <v>1419699.9836302188</v>
      </c>
      <c r="K68" s="119">
        <f>10^((C68-49.012)/(-4.2834))</f>
        <v>176.51544963833962</v>
      </c>
      <c r="L68" s="16">
        <f t="shared" ref="L68:L103" si="10">K68/5</f>
        <v>35.303089927667926</v>
      </c>
      <c r="M68" s="16">
        <f t="shared" si="5"/>
        <v>2353.5393285111954</v>
      </c>
    </row>
    <row r="69" spans="1:13" x14ac:dyDescent="0.15">
      <c r="A69" s="6" t="s">
        <v>86</v>
      </c>
      <c r="B69" s="23">
        <v>45567</v>
      </c>
      <c r="C69" s="24">
        <v>35.372062685885297</v>
      </c>
      <c r="D69" s="8">
        <v>16.3584264690985</v>
      </c>
      <c r="E69" s="9">
        <v>22.676431508773199</v>
      </c>
      <c r="F69" s="22">
        <v>0.91114171018422752</v>
      </c>
      <c r="G69" s="11">
        <f t="shared" si="6"/>
        <v>540446.83825036569</v>
      </c>
      <c r="H69" s="115">
        <f t="shared" si="7"/>
        <v>90074473.041727617</v>
      </c>
      <c r="I69" s="13">
        <f t="shared" si="8"/>
        <v>3830.440953981918</v>
      </c>
      <c r="J69" s="116">
        <f t="shared" si="9"/>
        <v>638406.82566365309</v>
      </c>
      <c r="K69" s="15">
        <f>10^((C69-49.012)/(-4.2834))</f>
        <v>1528.8736673473391</v>
      </c>
      <c r="L69" s="13">
        <f t="shared" si="10"/>
        <v>305.77473346946783</v>
      </c>
      <c r="M69" s="118">
        <f t="shared" ref="M69:M104" si="11">L69*(50/5)*(1000/150)</f>
        <v>20384.982231297854</v>
      </c>
    </row>
    <row r="70" spans="1:13" s="126" customFormat="1" x14ac:dyDescent="0.15">
      <c r="A70" s="127" t="s">
        <v>87</v>
      </c>
      <c r="B70" s="129">
        <v>45571</v>
      </c>
      <c r="C70" s="120">
        <v>40</v>
      </c>
      <c r="D70" s="123">
        <v>16.029106261113899</v>
      </c>
      <c r="E70" s="124">
        <v>21.411555720000901</v>
      </c>
      <c r="F70" s="145">
        <v>0.91843712993512761</v>
      </c>
      <c r="G70" s="125">
        <f t="shared" si="6"/>
        <v>671517.48732210172</v>
      </c>
      <c r="H70" s="12">
        <f t="shared" si="7"/>
        <v>111919581.2203503</v>
      </c>
      <c r="I70" s="16">
        <f t="shared" si="8"/>
        <v>9575.989155220992</v>
      </c>
      <c r="J70" s="14">
        <f t="shared" si="9"/>
        <v>1595998.1925368321</v>
      </c>
      <c r="K70" s="119">
        <f>10^((C70-49.012)/(-4.2834))</f>
        <v>127.03872474166116</v>
      </c>
      <c r="L70" s="16">
        <f t="shared" si="10"/>
        <v>25.40774494833223</v>
      </c>
      <c r="M70" s="16">
        <f t="shared" si="11"/>
        <v>1693.8496632221488</v>
      </c>
    </row>
    <row r="71" spans="1:13" x14ac:dyDescent="0.15">
      <c r="A71" s="6" t="s">
        <v>88</v>
      </c>
      <c r="B71" s="23">
        <v>45574</v>
      </c>
      <c r="C71" s="24">
        <v>37.023458582140499</v>
      </c>
      <c r="D71" s="8">
        <v>18.056900922923301</v>
      </c>
      <c r="E71" s="9">
        <v>22.336483632219402</v>
      </c>
      <c r="F71" s="22">
        <v>0.627487885434732</v>
      </c>
      <c r="G71" s="11">
        <f t="shared" si="6"/>
        <v>176350.51993123724</v>
      </c>
      <c r="H71" s="115">
        <f t="shared" si="7"/>
        <v>29391753.321872875</v>
      </c>
      <c r="I71" s="13">
        <f t="shared" si="8"/>
        <v>4900.0183285447965</v>
      </c>
      <c r="J71" s="116">
        <f t="shared" si="9"/>
        <v>816669.72142413282</v>
      </c>
      <c r="K71" s="15">
        <f>10^((C71-49.012)/(-4.2834))</f>
        <v>629.27097895816519</v>
      </c>
      <c r="L71" s="13">
        <f t="shared" si="10"/>
        <v>125.85419579163303</v>
      </c>
      <c r="M71" s="118">
        <f t="shared" si="11"/>
        <v>8390.2797194422037</v>
      </c>
    </row>
    <row r="72" spans="1:13" x14ac:dyDescent="0.15">
      <c r="A72" s="6" t="s">
        <v>89</v>
      </c>
      <c r="B72" s="23">
        <v>45578</v>
      </c>
      <c r="C72" s="24">
        <v>36.263917394134801</v>
      </c>
      <c r="D72" s="8">
        <v>16.047600958855799</v>
      </c>
      <c r="E72" s="9">
        <v>24.2327871651385</v>
      </c>
      <c r="F72" s="22">
        <v>0.627487885434732</v>
      </c>
      <c r="G72" s="11">
        <f t="shared" si="6"/>
        <v>663378.1659549647</v>
      </c>
      <c r="H72" s="115">
        <f t="shared" si="7"/>
        <v>110563027.65916078</v>
      </c>
      <c r="I72" s="13">
        <f t="shared" si="8"/>
        <v>1240.546910653351</v>
      </c>
      <c r="J72" s="116">
        <f t="shared" si="9"/>
        <v>206757.81844222517</v>
      </c>
      <c r="K72" s="15">
        <f>10^((C72-49.012)/(-4.2834))</f>
        <v>946.58525310646496</v>
      </c>
      <c r="L72" s="13">
        <f t="shared" si="10"/>
        <v>189.31705062129299</v>
      </c>
      <c r="M72" s="118">
        <f t="shared" si="11"/>
        <v>12621.1367080862</v>
      </c>
    </row>
    <row r="73" spans="1:13" x14ac:dyDescent="0.15">
      <c r="A73" s="6" t="s">
        <v>90</v>
      </c>
      <c r="B73" s="21" t="s">
        <v>91</v>
      </c>
      <c r="C73" s="24">
        <v>32.918670861700001</v>
      </c>
      <c r="D73" s="8">
        <v>15.5066274300651</v>
      </c>
      <c r="E73" s="9">
        <v>19.448255682383099</v>
      </c>
      <c r="F73" s="22">
        <v>0.85586909825291868</v>
      </c>
      <c r="G73" s="11">
        <f t="shared" si="6"/>
        <v>947708.33590295434</v>
      </c>
      <c r="H73" s="115">
        <f t="shared" si="7"/>
        <v>157951389.31715906</v>
      </c>
      <c r="I73" s="13">
        <f t="shared" si="8"/>
        <v>39705.029324550647</v>
      </c>
      <c r="J73" s="116">
        <f t="shared" si="9"/>
        <v>6617504.8874251079</v>
      </c>
      <c r="K73" s="15">
        <f>10^((C73-49.012)/(-4.2834))</f>
        <v>5716.6155632739992</v>
      </c>
      <c r="L73" s="13">
        <f t="shared" si="10"/>
        <v>1143.3231126547998</v>
      </c>
      <c r="M73" s="118">
        <f t="shared" si="11"/>
        <v>76221.540843653333</v>
      </c>
    </row>
    <row r="74" spans="1:13" x14ac:dyDescent="0.15">
      <c r="A74" s="6" t="s">
        <v>92</v>
      </c>
      <c r="B74" s="23">
        <v>45585</v>
      </c>
      <c r="C74" s="24">
        <v>36.172434082353803</v>
      </c>
      <c r="D74" s="8">
        <v>16.391575474854399</v>
      </c>
      <c r="E74" s="9">
        <v>21.217326881180298</v>
      </c>
      <c r="F74" s="22">
        <v>0.91566630021324313</v>
      </c>
      <c r="G74" s="11">
        <f t="shared" si="6"/>
        <v>528762.2109529014</v>
      </c>
      <c r="H74" s="115">
        <f t="shared" si="7"/>
        <v>88127035.158816904</v>
      </c>
      <c r="I74" s="13">
        <f t="shared" si="8"/>
        <v>11022.72057947625</v>
      </c>
      <c r="J74" s="116">
        <f t="shared" si="9"/>
        <v>1837120.096579375</v>
      </c>
      <c r="K74" s="15">
        <f>10^((C74-49.012)/(-4.2834))</f>
        <v>994.29984908888309</v>
      </c>
      <c r="L74" s="13">
        <f t="shared" si="10"/>
        <v>198.85996981777663</v>
      </c>
      <c r="M74" s="118">
        <f t="shared" si="11"/>
        <v>13257.331321185109</v>
      </c>
    </row>
    <row r="75" spans="1:13" s="126" customFormat="1" x14ac:dyDescent="0.15">
      <c r="A75" s="127" t="s">
        <v>93</v>
      </c>
      <c r="B75" s="129">
        <v>45588</v>
      </c>
      <c r="C75" s="122">
        <v>40</v>
      </c>
      <c r="D75" s="122">
        <v>16.885013886493301</v>
      </c>
      <c r="E75" s="124">
        <v>27.523995053480999</v>
      </c>
      <c r="F75" s="145">
        <v>0.98729324368696192</v>
      </c>
      <c r="G75" s="125">
        <f t="shared" si="6"/>
        <v>381908.275592277</v>
      </c>
      <c r="H75" s="12">
        <f t="shared" si="7"/>
        <v>63651379.265379496</v>
      </c>
      <c r="I75" s="16">
        <f t="shared" si="8"/>
        <v>114.33687264303521</v>
      </c>
      <c r="J75" s="14">
        <f t="shared" si="9"/>
        <v>19056.145440505868</v>
      </c>
      <c r="K75" s="119">
        <f>10^((C75-49.012)/(-4.2834))</f>
        <v>127.03872474166116</v>
      </c>
      <c r="L75" s="16">
        <f t="shared" si="10"/>
        <v>25.40774494833223</v>
      </c>
      <c r="M75" s="16">
        <f t="shared" si="11"/>
        <v>1693.8496632221488</v>
      </c>
    </row>
    <row r="76" spans="1:13" x14ac:dyDescent="0.15">
      <c r="A76" s="6" t="s">
        <v>94</v>
      </c>
      <c r="B76" s="23">
        <v>45592</v>
      </c>
      <c r="C76" s="24">
        <v>37.326888974975603</v>
      </c>
      <c r="D76" s="8">
        <v>17.075141943549902</v>
      </c>
      <c r="E76" s="9">
        <v>22.041349673549099</v>
      </c>
      <c r="F76" s="22">
        <v>0.91111614959436871</v>
      </c>
      <c r="G76" s="11">
        <f t="shared" si="6"/>
        <v>336909.98056083283</v>
      </c>
      <c r="H76" s="115">
        <f t="shared" si="7"/>
        <v>56151663.426805474</v>
      </c>
      <c r="I76" s="13">
        <f t="shared" si="8"/>
        <v>6068.0339641842274</v>
      </c>
      <c r="J76" s="116">
        <f t="shared" si="9"/>
        <v>1011338.9940307045</v>
      </c>
      <c r="K76" s="15">
        <f>10^((C76-49.012)/(-4.2834))</f>
        <v>534.56315967528064</v>
      </c>
      <c r="L76" s="13">
        <f t="shared" si="10"/>
        <v>106.91263193505613</v>
      </c>
      <c r="M76" s="118">
        <f t="shared" si="11"/>
        <v>7127.5087956704092</v>
      </c>
    </row>
    <row r="77" spans="1:13" x14ac:dyDescent="0.15">
      <c r="A77" s="20" t="s">
        <v>95</v>
      </c>
      <c r="B77" s="7">
        <v>45595</v>
      </c>
      <c r="C77" s="24">
        <v>36.356281435076397</v>
      </c>
      <c r="D77" s="8">
        <v>17.9970024180355</v>
      </c>
      <c r="E77" s="9">
        <v>22.468176549259201</v>
      </c>
      <c r="F77" s="143">
        <v>0.53594725734652693</v>
      </c>
      <c r="G77" s="11">
        <f t="shared" si="6"/>
        <v>183454.90114740536</v>
      </c>
      <c r="H77" s="115">
        <f t="shared" si="7"/>
        <v>30575816.857900895</v>
      </c>
      <c r="I77" s="13">
        <f t="shared" si="8"/>
        <v>4454.1680400765345</v>
      </c>
      <c r="J77" s="116">
        <f t="shared" si="9"/>
        <v>742361.34001275571</v>
      </c>
      <c r="K77" s="15">
        <f>10^((C77-49.012)/(-4.2834))</f>
        <v>900.73384282636721</v>
      </c>
      <c r="L77" s="13">
        <f t="shared" si="10"/>
        <v>180.14676856527345</v>
      </c>
      <c r="M77" s="118">
        <f t="shared" si="11"/>
        <v>12009.78457101823</v>
      </c>
    </row>
    <row r="78" spans="1:13" s="126" customFormat="1" x14ac:dyDescent="0.15">
      <c r="A78" s="127" t="s">
        <v>96</v>
      </c>
      <c r="B78" s="128" t="s">
        <v>97</v>
      </c>
      <c r="C78" s="122">
        <v>39.913266732084303</v>
      </c>
      <c r="D78" s="123">
        <v>18.463577201001701</v>
      </c>
      <c r="E78" s="124">
        <v>25.421016277412601</v>
      </c>
      <c r="F78" s="145">
        <v>0.92888018466706179</v>
      </c>
      <c r="G78" s="125">
        <f t="shared" si="6"/>
        <v>134871.64797472151</v>
      </c>
      <c r="H78" s="12">
        <f t="shared" si="7"/>
        <v>22478607.99578692</v>
      </c>
      <c r="I78" s="16">
        <f t="shared" si="8"/>
        <v>524.55576268884329</v>
      </c>
      <c r="J78" s="14">
        <f t="shared" si="9"/>
        <v>87425.960448140555</v>
      </c>
      <c r="K78" s="119">
        <f>10^((C78-49.012)/(-4.2834))</f>
        <v>133.10207387812386</v>
      </c>
      <c r="L78" s="16">
        <f t="shared" si="10"/>
        <v>26.620414775624774</v>
      </c>
      <c r="M78" s="16">
        <f t="shared" si="11"/>
        <v>1774.694318374985</v>
      </c>
    </row>
    <row r="79" spans="1:13" x14ac:dyDescent="0.15">
      <c r="A79" s="6" t="s">
        <v>98</v>
      </c>
      <c r="B79" s="21" t="s">
        <v>99</v>
      </c>
      <c r="C79" s="24">
        <v>34.855245837397</v>
      </c>
      <c r="D79" s="8">
        <v>13.5839254566243</v>
      </c>
      <c r="E79" s="9">
        <v>19.328336882439402</v>
      </c>
      <c r="F79" s="22">
        <v>0.78923296357232564</v>
      </c>
      <c r="G79" s="11">
        <f t="shared" si="6"/>
        <v>3367137.6683760299</v>
      </c>
      <c r="H79" s="115">
        <f t="shared" si="7"/>
        <v>561189611.39600503</v>
      </c>
      <c r="I79" s="13">
        <f t="shared" si="8"/>
        <v>43308.430473753549</v>
      </c>
      <c r="J79" s="116">
        <f t="shared" si="9"/>
        <v>7218071.7456255918</v>
      </c>
      <c r="K79" s="15">
        <f>10^((C79-49.012)/(-4.2834))</f>
        <v>2018.4934883240639</v>
      </c>
      <c r="L79" s="13">
        <f t="shared" si="10"/>
        <v>403.69869766481281</v>
      </c>
      <c r="M79" s="118">
        <f t="shared" si="11"/>
        <v>26913.246510987519</v>
      </c>
    </row>
    <row r="80" spans="1:13" x14ac:dyDescent="0.15">
      <c r="A80" s="6" t="s">
        <v>100</v>
      </c>
      <c r="B80" s="21" t="s">
        <v>101</v>
      </c>
      <c r="C80" s="24">
        <v>36.195643768666102</v>
      </c>
      <c r="D80" s="8">
        <v>14.8119048422676</v>
      </c>
      <c r="E80" s="9">
        <v>18.9381934385321</v>
      </c>
      <c r="F80" s="22">
        <v>0.84283313469107879</v>
      </c>
      <c r="G80" s="11">
        <f t="shared" si="6"/>
        <v>1498359.0913742692</v>
      </c>
      <c r="H80" s="115">
        <f t="shared" si="7"/>
        <v>249726515.22904485</v>
      </c>
      <c r="I80" s="13">
        <f t="shared" si="8"/>
        <v>57453.05136134295</v>
      </c>
      <c r="J80" s="116">
        <f t="shared" si="9"/>
        <v>9575508.5602238253</v>
      </c>
      <c r="K80" s="15">
        <f>10^((C80-49.012)/(-4.2834))</f>
        <v>981.97143373088034</v>
      </c>
      <c r="L80" s="13">
        <f t="shared" si="10"/>
        <v>196.39428674617608</v>
      </c>
      <c r="M80" s="118">
        <f t="shared" si="11"/>
        <v>13092.952449745071</v>
      </c>
    </row>
    <row r="81" spans="1:13" x14ac:dyDescent="0.15">
      <c r="A81" s="6" t="s">
        <v>102</v>
      </c>
      <c r="B81" s="23">
        <v>45609</v>
      </c>
      <c r="C81" s="40">
        <v>31.474042274839</v>
      </c>
      <c r="D81" s="8">
        <v>15.3029071253574</v>
      </c>
      <c r="E81" s="9">
        <v>20.708978833252399</v>
      </c>
      <c r="F81" s="22">
        <v>0.68192721424151848</v>
      </c>
      <c r="G81" s="11">
        <f t="shared" si="6"/>
        <v>1083957.3087065313</v>
      </c>
      <c r="H81" s="115">
        <f t="shared" si="7"/>
        <v>180659551.45108855</v>
      </c>
      <c r="I81" s="13">
        <f t="shared" si="8"/>
        <v>15930.047977284472</v>
      </c>
      <c r="J81" s="116">
        <f t="shared" si="9"/>
        <v>2655007.9962140787</v>
      </c>
      <c r="K81" s="15">
        <f>10^((C81-49.012)/(-4.2834))</f>
        <v>12427.996219433857</v>
      </c>
      <c r="L81" s="13">
        <f t="shared" si="10"/>
        <v>2485.5992438867715</v>
      </c>
      <c r="M81" s="118">
        <f t="shared" si="11"/>
        <v>165706.61625911813</v>
      </c>
    </row>
    <row r="82" spans="1:13" x14ac:dyDescent="0.15">
      <c r="A82" s="6" t="s">
        <v>103</v>
      </c>
      <c r="B82" s="23">
        <v>45613</v>
      </c>
      <c r="C82" s="40">
        <v>34.489978929169197</v>
      </c>
      <c r="D82" s="8">
        <v>15.2315041663201</v>
      </c>
      <c r="E82" s="9">
        <v>20.727640345678001</v>
      </c>
      <c r="F82" s="22">
        <v>0.40555487466678219</v>
      </c>
      <c r="G82" s="11">
        <f t="shared" si="6"/>
        <v>1136211.4859199128</v>
      </c>
      <c r="H82" s="115">
        <f t="shared" si="7"/>
        <v>189368580.98665214</v>
      </c>
      <c r="I82" s="13">
        <f t="shared" si="8"/>
        <v>15716.147602137078</v>
      </c>
      <c r="J82" s="116">
        <f t="shared" si="9"/>
        <v>2619357.9336895132</v>
      </c>
      <c r="K82" s="15">
        <f>10^((C82-49.012)/(-4.2834))</f>
        <v>2456.4184261358218</v>
      </c>
      <c r="L82" s="13">
        <f t="shared" si="10"/>
        <v>491.28368522716437</v>
      </c>
      <c r="M82" s="118">
        <f t="shared" si="11"/>
        <v>32752.24568181096</v>
      </c>
    </row>
    <row r="83" spans="1:13" x14ac:dyDescent="0.15">
      <c r="A83" s="6" t="s">
        <v>104</v>
      </c>
      <c r="B83" s="21" t="s">
        <v>105</v>
      </c>
      <c r="C83" s="40">
        <v>33.373681372125503</v>
      </c>
      <c r="D83" s="8">
        <v>15.708620765881401</v>
      </c>
      <c r="E83" s="9">
        <v>19.2407412503707</v>
      </c>
      <c r="F83" s="22">
        <v>0.52697592226915457</v>
      </c>
      <c r="G83" s="11">
        <f t="shared" si="6"/>
        <v>829529.35489308892</v>
      </c>
      <c r="H83" s="115">
        <f t="shared" si="7"/>
        <v>138254892.48218149</v>
      </c>
      <c r="I83" s="13">
        <f t="shared" si="8"/>
        <v>46145.608114373543</v>
      </c>
      <c r="J83" s="116">
        <f t="shared" si="9"/>
        <v>7690934.6857289243</v>
      </c>
      <c r="K83" s="15">
        <f>10^((C83-49.012)/(-4.2834))</f>
        <v>4476.2311579514935</v>
      </c>
      <c r="L83" s="13">
        <f t="shared" si="10"/>
        <v>895.24623159029875</v>
      </c>
      <c r="M83" s="118">
        <f t="shared" si="11"/>
        <v>59683.082106019916</v>
      </c>
    </row>
    <row r="84" spans="1:13" x14ac:dyDescent="0.15">
      <c r="A84" s="6" t="s">
        <v>106</v>
      </c>
      <c r="B84" s="21" t="s">
        <v>107</v>
      </c>
      <c r="C84" s="40">
        <v>33.370784675158497</v>
      </c>
      <c r="D84" s="8">
        <v>16.175433824603601</v>
      </c>
      <c r="E84" s="9">
        <v>22.814032464221299</v>
      </c>
      <c r="F84" s="22">
        <v>0.48850192291298378</v>
      </c>
      <c r="G84" s="11">
        <f t="shared" si="6"/>
        <v>609754.30009981501</v>
      </c>
      <c r="H84" s="115">
        <f t="shared" si="7"/>
        <v>101625716.68330251</v>
      </c>
      <c r="I84" s="13">
        <f t="shared" si="8"/>
        <v>3467.0409640370326</v>
      </c>
      <c r="J84" s="116">
        <f t="shared" si="9"/>
        <v>577840.1606728388</v>
      </c>
      <c r="K84" s="15">
        <f>10^((C84-49.012)/(-4.2834))</f>
        <v>4483.2067456212544</v>
      </c>
      <c r="L84" s="13">
        <f t="shared" si="10"/>
        <v>896.64134912425084</v>
      </c>
      <c r="M84" s="118">
        <f t="shared" si="11"/>
        <v>59776.08994161673</v>
      </c>
    </row>
    <row r="85" spans="1:13" x14ac:dyDescent="0.15">
      <c r="A85" s="20" t="s">
        <v>108</v>
      </c>
      <c r="B85" s="7">
        <v>45623</v>
      </c>
      <c r="C85" s="24">
        <v>36.310868767030897</v>
      </c>
      <c r="D85" s="8">
        <v>17.7985455957539</v>
      </c>
      <c r="E85" s="9">
        <v>22.681366362534799</v>
      </c>
      <c r="F85" s="143">
        <v>0.59571022091562942</v>
      </c>
      <c r="G85" s="11">
        <f t="shared" si="6"/>
        <v>209102.65249407996</v>
      </c>
      <c r="H85" s="115">
        <f t="shared" si="7"/>
        <v>34850442.082346663</v>
      </c>
      <c r="I85" s="13">
        <f t="shared" si="8"/>
        <v>3816.7722657368363</v>
      </c>
      <c r="J85" s="116">
        <f t="shared" si="9"/>
        <v>636128.71095613937</v>
      </c>
      <c r="K85" s="15">
        <f>10^((C85-49.012)/(-4.2834))</f>
        <v>922.99318604805592</v>
      </c>
      <c r="L85" s="13">
        <f t="shared" si="10"/>
        <v>184.59863720961118</v>
      </c>
      <c r="M85" s="118">
        <f t="shared" si="11"/>
        <v>12306.575813974079</v>
      </c>
    </row>
    <row r="86" spans="1:13" x14ac:dyDescent="0.15">
      <c r="A86" s="6" t="s">
        <v>109</v>
      </c>
      <c r="B86" s="21" t="s">
        <v>110</v>
      </c>
      <c r="C86" s="40">
        <v>33.360181933949001</v>
      </c>
      <c r="D86" s="8">
        <v>15.695040083447401</v>
      </c>
      <c r="E86" s="9">
        <v>21.2566684116162</v>
      </c>
      <c r="F86" s="22">
        <v>0.43891104051904728</v>
      </c>
      <c r="G86" s="11">
        <f t="shared" si="6"/>
        <v>836990.89207756147</v>
      </c>
      <c r="H86" s="115">
        <f t="shared" si="7"/>
        <v>139498482.01292691</v>
      </c>
      <c r="I86" s="13">
        <f t="shared" si="8"/>
        <v>10713.017120435128</v>
      </c>
      <c r="J86" s="116">
        <f t="shared" si="9"/>
        <v>1785502.8534058549</v>
      </c>
      <c r="K86" s="15">
        <f>10^((C86-49.012)/(-4.2834))</f>
        <v>4508.8322385041629</v>
      </c>
      <c r="L86" s="13">
        <f t="shared" si="10"/>
        <v>901.7664477008326</v>
      </c>
      <c r="M86" s="118">
        <f t="shared" si="11"/>
        <v>60117.76318005551</v>
      </c>
    </row>
    <row r="87" spans="1:13" x14ac:dyDescent="0.15">
      <c r="A87" s="6" t="s">
        <v>111</v>
      </c>
      <c r="B87" s="21" t="s">
        <v>112</v>
      </c>
      <c r="C87" s="40">
        <v>31.0094413375747</v>
      </c>
      <c r="D87" s="8">
        <v>15.510244059503</v>
      </c>
      <c r="E87" s="9">
        <v>22.326953490100099</v>
      </c>
      <c r="F87" s="22">
        <v>0.49576250646268261</v>
      </c>
      <c r="G87" s="11">
        <f t="shared" si="6"/>
        <v>945451.03215153876</v>
      </c>
      <c r="H87" s="115">
        <f t="shared" si="7"/>
        <v>157575172.02525645</v>
      </c>
      <c r="I87" s="13">
        <f t="shared" si="8"/>
        <v>4933.9634106725189</v>
      </c>
      <c r="J87" s="116">
        <f t="shared" si="9"/>
        <v>822327.23511208652</v>
      </c>
      <c r="K87" s="15">
        <f>10^((C87-49.012)/(-4.2834))</f>
        <v>15953.889113155805</v>
      </c>
      <c r="L87" s="13">
        <f t="shared" si="10"/>
        <v>3190.7778226311611</v>
      </c>
      <c r="M87" s="118">
        <f t="shared" si="11"/>
        <v>212718.52150874407</v>
      </c>
    </row>
    <row r="88" spans="1:13" x14ac:dyDescent="0.15">
      <c r="A88" s="6" t="s">
        <v>113</v>
      </c>
      <c r="B88" s="21" t="s">
        <v>114</v>
      </c>
      <c r="C88" s="40">
        <v>34.196000350198297</v>
      </c>
      <c r="D88" s="8">
        <v>16.420118971971601</v>
      </c>
      <c r="E88" s="9">
        <v>21.025675583818</v>
      </c>
      <c r="F88" s="22">
        <v>0.88600197865855601</v>
      </c>
      <c r="G88" s="11">
        <f t="shared" si="6"/>
        <v>518903.59041246644</v>
      </c>
      <c r="H88" s="115">
        <f t="shared" si="7"/>
        <v>86483931.735411078</v>
      </c>
      <c r="I88" s="13">
        <f t="shared" si="8"/>
        <v>12664.354145361394</v>
      </c>
      <c r="J88" s="116">
        <f t="shared" si="9"/>
        <v>2110725.6908935658</v>
      </c>
      <c r="K88" s="15">
        <f>10^((C88-49.012)/(-4.2834))</f>
        <v>2876.9638808946347</v>
      </c>
      <c r="L88" s="13">
        <f t="shared" si="10"/>
        <v>575.39277617892697</v>
      </c>
      <c r="M88" s="118">
        <f t="shared" si="11"/>
        <v>38359.518411928468</v>
      </c>
    </row>
    <row r="89" spans="1:13" x14ac:dyDescent="0.15">
      <c r="A89" s="6" t="s">
        <v>115</v>
      </c>
      <c r="B89" s="23">
        <v>45637</v>
      </c>
      <c r="C89" s="40">
        <v>33.445616251275297</v>
      </c>
      <c r="D89" s="8">
        <v>15.577862900307</v>
      </c>
      <c r="E89" s="9">
        <v>20.718343449633998</v>
      </c>
      <c r="F89" s="22">
        <v>0.48565549232848948</v>
      </c>
      <c r="G89" s="11">
        <f t="shared" si="6"/>
        <v>904223.24142737698</v>
      </c>
      <c r="H89" s="115">
        <f t="shared" si="7"/>
        <v>150703873.57122952</v>
      </c>
      <c r="I89" s="13">
        <f t="shared" si="8"/>
        <v>15822.348239719222</v>
      </c>
      <c r="J89" s="116">
        <f t="shared" si="9"/>
        <v>2637058.0399532039</v>
      </c>
      <c r="K89" s="15">
        <f>10^((C89-49.012)/(-4.2834))</f>
        <v>4306.4422941886614</v>
      </c>
      <c r="L89" s="13">
        <f t="shared" si="10"/>
        <v>861.28845883773226</v>
      </c>
      <c r="M89" s="118">
        <f t="shared" si="11"/>
        <v>57419.230589182152</v>
      </c>
    </row>
    <row r="90" spans="1:13" x14ac:dyDescent="0.15">
      <c r="A90" s="6" t="s">
        <v>116</v>
      </c>
      <c r="B90" s="21" t="s">
        <v>117</v>
      </c>
      <c r="C90" s="40">
        <v>32.319336730345</v>
      </c>
      <c r="D90" s="8">
        <v>15.970753683272999</v>
      </c>
      <c r="E90" s="9">
        <v>22.8796341781504</v>
      </c>
      <c r="F90" s="22">
        <v>0.37590048320965352</v>
      </c>
      <c r="G90" s="11">
        <f t="shared" si="6"/>
        <v>697858.23630196461</v>
      </c>
      <c r="H90" s="115">
        <f t="shared" si="7"/>
        <v>116309706.05032745</v>
      </c>
      <c r="I90" s="13">
        <f t="shared" si="8"/>
        <v>3306.1337349861024</v>
      </c>
      <c r="J90" s="116">
        <f t="shared" si="9"/>
        <v>551022.28916435037</v>
      </c>
      <c r="K90" s="15">
        <f>10^((C90-49.012)/(-4.2834))</f>
        <v>7889.6761122103717</v>
      </c>
      <c r="L90" s="13">
        <f t="shared" si="10"/>
        <v>1577.9352224420743</v>
      </c>
      <c r="M90" s="118">
        <f t="shared" si="11"/>
        <v>105195.68149613829</v>
      </c>
    </row>
    <row r="91" spans="1:13" x14ac:dyDescent="0.15">
      <c r="A91" s="6" t="s">
        <v>118</v>
      </c>
      <c r="B91" s="21" t="s">
        <v>119</v>
      </c>
      <c r="C91" s="40">
        <v>33.376723019017803</v>
      </c>
      <c r="D91" s="8">
        <v>15.6371420900674</v>
      </c>
      <c r="E91" s="9">
        <v>22.270488017745599</v>
      </c>
      <c r="F91" s="22">
        <v>0.54781272334840914</v>
      </c>
      <c r="G91" s="11">
        <f t="shared" si="6"/>
        <v>869561.77168851288</v>
      </c>
      <c r="H91" s="115">
        <f t="shared" si="7"/>
        <v>144926961.94808549</v>
      </c>
      <c r="I91" s="13">
        <f t="shared" si="8"/>
        <v>5139.9652530842714</v>
      </c>
      <c r="J91" s="116">
        <f t="shared" si="9"/>
        <v>856660.87551404524</v>
      </c>
      <c r="K91" s="15">
        <f>10^((C91-49.012)/(-4.2834))</f>
        <v>4468.9181953051839</v>
      </c>
      <c r="L91" s="13">
        <f t="shared" si="10"/>
        <v>893.78363906103675</v>
      </c>
      <c r="M91" s="118">
        <f t="shared" si="11"/>
        <v>59585.575937402456</v>
      </c>
    </row>
    <row r="92" spans="1:13" x14ac:dyDescent="0.15">
      <c r="A92" s="6" t="s">
        <v>120</v>
      </c>
      <c r="B92" s="21" t="s">
        <v>121</v>
      </c>
      <c r="C92" s="40">
        <v>32.548317385102401</v>
      </c>
      <c r="D92" s="8">
        <v>16.507396649087099</v>
      </c>
      <c r="E92" s="9">
        <v>21.4026111723376</v>
      </c>
      <c r="F92" s="22">
        <v>0.94218354844819352</v>
      </c>
      <c r="G92" s="11">
        <f t="shared" si="6"/>
        <v>489884.59637316701</v>
      </c>
      <c r="H92" s="115">
        <f t="shared" si="7"/>
        <v>81647432.728861183</v>
      </c>
      <c r="I92" s="13">
        <f t="shared" si="8"/>
        <v>9638.2377557988966</v>
      </c>
      <c r="J92" s="116">
        <f t="shared" si="9"/>
        <v>1606372.9592998161</v>
      </c>
      <c r="K92" s="15">
        <f>10^((C92-49.012)/(-4.2834))</f>
        <v>6975.919949003197</v>
      </c>
      <c r="L92" s="13">
        <f t="shared" si="10"/>
        <v>1395.1839898006394</v>
      </c>
      <c r="M92" s="118">
        <f t="shared" si="11"/>
        <v>93012.265986709303</v>
      </c>
    </row>
    <row r="93" spans="1:13" s="142" customFormat="1" x14ac:dyDescent="0.15">
      <c r="A93" s="132" t="s">
        <v>122</v>
      </c>
      <c r="B93" s="133">
        <v>45651</v>
      </c>
      <c r="C93" s="134">
        <v>38.742224863808097</v>
      </c>
      <c r="D93" s="135">
        <v>19.252700517169998</v>
      </c>
      <c r="E93" s="136">
        <v>28.091237600818101</v>
      </c>
      <c r="F93" s="146">
        <v>0.75333240094976395</v>
      </c>
      <c r="G93" s="137">
        <f t="shared" si="6"/>
        <v>80157.987358728366</v>
      </c>
      <c r="H93" s="138">
        <f t="shared" si="7"/>
        <v>13359664.559788061</v>
      </c>
      <c r="I93" s="139">
        <f t="shared" si="8"/>
        <v>75.810538887858755</v>
      </c>
      <c r="J93" s="140">
        <f t="shared" si="9"/>
        <v>12635.089814643126</v>
      </c>
      <c r="K93" s="141">
        <f>10^((C93-49.012)/(-4.2834))</f>
        <v>249.79029213069785</v>
      </c>
      <c r="L93" s="139">
        <f t="shared" si="10"/>
        <v>49.958058426139573</v>
      </c>
      <c r="M93" s="118">
        <f t="shared" si="11"/>
        <v>3330.537228409305</v>
      </c>
    </row>
    <row r="94" spans="1:13" x14ac:dyDescent="0.15">
      <c r="A94" s="6" t="s">
        <v>123</v>
      </c>
      <c r="B94" s="21" t="s">
        <v>124</v>
      </c>
      <c r="C94" s="40">
        <v>35.0821054548787</v>
      </c>
      <c r="D94" s="8">
        <v>15.567776346477</v>
      </c>
      <c r="E94" s="9">
        <v>20.454982809373099</v>
      </c>
      <c r="F94" s="22">
        <v>0.54301378945823353</v>
      </c>
      <c r="G94" s="11">
        <f t="shared" si="6"/>
        <v>910257.06336443569</v>
      </c>
      <c r="H94" s="115">
        <f t="shared" si="7"/>
        <v>151709510.56073931</v>
      </c>
      <c r="I94" s="13">
        <f t="shared" si="8"/>
        <v>19148.079721242582</v>
      </c>
      <c r="J94" s="116">
        <f t="shared" si="9"/>
        <v>3191346.6202070974</v>
      </c>
      <c r="K94" s="15">
        <f>10^((C94-49.012)/(-4.2834))</f>
        <v>1786.7543257665559</v>
      </c>
      <c r="L94" s="13">
        <f t="shared" si="10"/>
        <v>357.35086515331119</v>
      </c>
      <c r="M94" s="118">
        <f t="shared" si="11"/>
        <v>23823.391010220745</v>
      </c>
    </row>
    <row r="95" spans="1:13" x14ac:dyDescent="0.15">
      <c r="A95" s="6" t="s">
        <v>125</v>
      </c>
      <c r="B95" s="21" t="s">
        <v>126</v>
      </c>
      <c r="C95" s="40">
        <v>36.858418361782199</v>
      </c>
      <c r="D95" s="8">
        <v>15.915046266523801</v>
      </c>
      <c r="E95" s="9">
        <v>19.200342346886998</v>
      </c>
      <c r="F95" s="22">
        <v>0.61588955226326425</v>
      </c>
      <c r="G95" s="11">
        <f t="shared" si="6"/>
        <v>723968.4163156657</v>
      </c>
      <c r="H95" s="115">
        <f t="shared" si="7"/>
        <v>120661402.71927762</v>
      </c>
      <c r="I95" s="13">
        <f t="shared" si="8"/>
        <v>47516.016744989131</v>
      </c>
      <c r="J95" s="116">
        <f t="shared" si="9"/>
        <v>7919336.1241648551</v>
      </c>
      <c r="K95" s="15">
        <f>10^((C95-49.012)/(-4.2834))</f>
        <v>687.65070764202687</v>
      </c>
      <c r="L95" s="13">
        <f t="shared" si="10"/>
        <v>137.53014152840538</v>
      </c>
      <c r="M95" s="118">
        <f t="shared" si="11"/>
        <v>9168.6761018936922</v>
      </c>
    </row>
    <row r="96" spans="1:13" x14ac:dyDescent="0.15">
      <c r="A96" s="6" t="s">
        <v>127</v>
      </c>
      <c r="B96" s="21" t="s">
        <v>128</v>
      </c>
      <c r="C96" s="40">
        <v>27.1602015084854</v>
      </c>
      <c r="D96" s="8">
        <v>16.091734812007498</v>
      </c>
      <c r="E96" s="9">
        <v>20.353306651836501</v>
      </c>
      <c r="F96" s="22">
        <v>0.60409386271716858</v>
      </c>
      <c r="G96" s="11">
        <f t="shared" si="6"/>
        <v>644351.69420362101</v>
      </c>
      <c r="H96" s="115">
        <f t="shared" si="7"/>
        <v>107391949.03393684</v>
      </c>
      <c r="I96" s="13">
        <f t="shared" si="8"/>
        <v>20611.658771284991</v>
      </c>
      <c r="J96" s="116">
        <f t="shared" si="9"/>
        <v>3435276.461880832</v>
      </c>
      <c r="K96" s="15">
        <f>10^((C96-49.012)/(-4.2834))</f>
        <v>126330.37798399577</v>
      </c>
      <c r="L96" s="13">
        <f t="shared" si="10"/>
        <v>25266.075596799154</v>
      </c>
      <c r="M96" s="118">
        <f t="shared" si="11"/>
        <v>1684405.0397866103</v>
      </c>
    </row>
    <row r="97" spans="1:13" x14ac:dyDescent="0.15">
      <c r="A97" s="6" t="s">
        <v>129</v>
      </c>
      <c r="B97" s="23">
        <v>45665</v>
      </c>
      <c r="C97" s="40">
        <v>36.0039544955157</v>
      </c>
      <c r="D97" s="8">
        <v>16.2086221463539</v>
      </c>
      <c r="E97" s="9">
        <v>18.9732225885856</v>
      </c>
      <c r="F97" s="22">
        <v>0.69520851292945451</v>
      </c>
      <c r="G97" s="11">
        <f t="shared" si="6"/>
        <v>596555.75892613921</v>
      </c>
      <c r="H97" s="115">
        <f t="shared" si="7"/>
        <v>99425959.821023196</v>
      </c>
      <c r="I97" s="13">
        <f t="shared" si="8"/>
        <v>56013.510468025066</v>
      </c>
      <c r="J97" s="116">
        <f t="shared" si="9"/>
        <v>9335585.0780041777</v>
      </c>
      <c r="K97" s="15">
        <f>10^((C97-49.012)/(-4.2834))</f>
        <v>1088.5553509822735</v>
      </c>
      <c r="L97" s="13">
        <f t="shared" si="10"/>
        <v>217.7110701964547</v>
      </c>
      <c r="M97" s="118">
        <f t="shared" si="11"/>
        <v>14514.071346430313</v>
      </c>
    </row>
    <row r="98" spans="1:13" x14ac:dyDescent="0.15">
      <c r="A98" s="6" t="s">
        <v>130</v>
      </c>
      <c r="B98" s="23">
        <v>45669</v>
      </c>
      <c r="C98" s="40">
        <v>32.405621842541997</v>
      </c>
      <c r="D98" s="8">
        <v>16.438006611392801</v>
      </c>
      <c r="E98" s="9">
        <v>22.261029932957801</v>
      </c>
      <c r="F98" s="22">
        <v>0.27955623274125574</v>
      </c>
      <c r="G98" s="11">
        <f t="shared" si="6"/>
        <v>512819.2979207029</v>
      </c>
      <c r="H98" s="115">
        <f t="shared" si="7"/>
        <v>85469882.986783817</v>
      </c>
      <c r="I98" s="13">
        <f t="shared" si="8"/>
        <v>5175.3024275275411</v>
      </c>
      <c r="J98" s="116">
        <f t="shared" si="9"/>
        <v>862550.40458792355</v>
      </c>
      <c r="K98" s="15">
        <f>10^((C98-49.012)/(-4.2834))</f>
        <v>7532.0831238064557</v>
      </c>
      <c r="L98" s="13">
        <f t="shared" si="10"/>
        <v>1506.4166247612911</v>
      </c>
      <c r="M98" s="118">
        <f t="shared" si="11"/>
        <v>100427.77498408608</v>
      </c>
    </row>
    <row r="99" spans="1:13" x14ac:dyDescent="0.15">
      <c r="A99" s="6" t="s">
        <v>131</v>
      </c>
      <c r="B99" s="21" t="s">
        <v>132</v>
      </c>
      <c r="C99" s="40">
        <v>31.896693742900599</v>
      </c>
      <c r="D99" s="8">
        <v>15.0828250333405</v>
      </c>
      <c r="E99" s="9">
        <v>21.203805809514101</v>
      </c>
      <c r="F99" s="22">
        <v>0.73353799306701495</v>
      </c>
      <c r="G99" s="11">
        <f t="shared" si="6"/>
        <v>1253242.2490098425</v>
      </c>
      <c r="H99" s="115">
        <f t="shared" si="7"/>
        <v>208873708.1683071</v>
      </c>
      <c r="I99" s="13">
        <f t="shared" si="8"/>
        <v>11131.215236137357</v>
      </c>
      <c r="J99" s="116">
        <f t="shared" si="9"/>
        <v>1855202.5393562263</v>
      </c>
      <c r="K99" s="15">
        <f>10^((C99-49.012)/(-4.2834))</f>
        <v>9902.1420858636939</v>
      </c>
      <c r="L99" s="13">
        <f t="shared" si="10"/>
        <v>1980.4284171727388</v>
      </c>
      <c r="M99" s="118">
        <f t="shared" si="11"/>
        <v>132028.56114484926</v>
      </c>
    </row>
    <row r="100" spans="1:13" x14ac:dyDescent="0.15">
      <c r="A100" s="6" t="s">
        <v>133</v>
      </c>
      <c r="B100" s="23">
        <v>45676</v>
      </c>
      <c r="C100" s="40">
        <v>33.215417392650799</v>
      </c>
      <c r="D100" s="8">
        <v>15.681107464410401</v>
      </c>
      <c r="E100" s="9">
        <v>20.502628226253901</v>
      </c>
      <c r="F100" s="22">
        <v>0.78615633668434459</v>
      </c>
      <c r="G100" s="11">
        <f t="shared" si="6"/>
        <v>844715.54393780266</v>
      </c>
      <c r="H100" s="115">
        <f t="shared" si="7"/>
        <v>140785923.98963377</v>
      </c>
      <c r="I100" s="13">
        <f t="shared" si="8"/>
        <v>18498.469265191496</v>
      </c>
      <c r="J100" s="116">
        <f t="shared" si="9"/>
        <v>3083078.2108652494</v>
      </c>
      <c r="K100" s="15">
        <f>10^((C100-49.012)/(-4.2834))</f>
        <v>4873.7216262692436</v>
      </c>
      <c r="L100" s="13">
        <f t="shared" si="10"/>
        <v>974.74432525384873</v>
      </c>
      <c r="M100" s="118">
        <f t="shared" si="11"/>
        <v>64982.955016923253</v>
      </c>
    </row>
    <row r="101" spans="1:13" x14ac:dyDescent="0.15">
      <c r="A101" s="6" t="s">
        <v>134</v>
      </c>
      <c r="B101" s="23">
        <v>45679</v>
      </c>
      <c r="C101" s="40">
        <v>34.604580107055</v>
      </c>
      <c r="D101" s="8">
        <v>15.803876853830801</v>
      </c>
      <c r="E101" s="9">
        <v>19.532263358952498</v>
      </c>
      <c r="F101" s="22">
        <v>0.89862915505121077</v>
      </c>
      <c r="G101" s="11">
        <f t="shared" si="6"/>
        <v>779029.96807970444</v>
      </c>
      <c r="H101" s="115">
        <f t="shared" si="7"/>
        <v>129838328.01328409</v>
      </c>
      <c r="I101" s="13">
        <f t="shared" si="8"/>
        <v>37360.818078994242</v>
      </c>
      <c r="J101" s="116">
        <f t="shared" si="9"/>
        <v>6226803.0131657077</v>
      </c>
      <c r="K101" s="15">
        <f>10^((C101-49.012)/(-4.2834))</f>
        <v>2309.65771857748</v>
      </c>
      <c r="L101" s="13">
        <f t="shared" si="10"/>
        <v>461.93154371549599</v>
      </c>
      <c r="M101" s="118">
        <f t="shared" si="11"/>
        <v>30795.436247699734</v>
      </c>
    </row>
    <row r="102" spans="1:13" x14ac:dyDescent="0.15">
      <c r="A102" s="6" t="s">
        <v>135</v>
      </c>
      <c r="B102" s="21" t="s">
        <v>136</v>
      </c>
      <c r="C102" s="40">
        <v>31.032351642719298</v>
      </c>
      <c r="D102" s="8">
        <v>16.3469080912392</v>
      </c>
      <c r="E102" s="9">
        <v>20.165618443207102</v>
      </c>
      <c r="F102" s="22">
        <v>0.55511529424756834</v>
      </c>
      <c r="G102" s="11">
        <f t="shared" si="6"/>
        <v>544567.08824708173</v>
      </c>
      <c r="H102" s="115">
        <f t="shared" si="7"/>
        <v>90761181.374513626</v>
      </c>
      <c r="I102" s="13">
        <f t="shared" si="8"/>
        <v>23613.501409557848</v>
      </c>
      <c r="J102" s="116">
        <f t="shared" si="9"/>
        <v>3935583.5682596415</v>
      </c>
      <c r="K102" s="15">
        <f>10^((C102-49.012)/(-4.2834))</f>
        <v>15758.611287482145</v>
      </c>
      <c r="L102" s="13">
        <f t="shared" si="10"/>
        <v>3151.7222574964289</v>
      </c>
      <c r="M102" s="118">
        <f t="shared" si="11"/>
        <v>210114.81716642861</v>
      </c>
    </row>
    <row r="103" spans="1:13" ht="14" thickBot="1" x14ac:dyDescent="0.2">
      <c r="A103" s="25" t="s">
        <v>137</v>
      </c>
      <c r="B103" s="7">
        <v>45686</v>
      </c>
      <c r="C103" s="24">
        <v>38.374671084039797</v>
      </c>
      <c r="D103" s="8">
        <v>18.529214708633599</v>
      </c>
      <c r="E103" s="9">
        <v>24.213898392314199</v>
      </c>
      <c r="F103" s="147">
        <v>0.51286794074600461</v>
      </c>
      <c r="G103" s="26">
        <f t="shared" si="6"/>
        <v>129158.99743286437</v>
      </c>
      <c r="H103" s="115">
        <f t="shared" si="7"/>
        <v>21526499.572144061</v>
      </c>
      <c r="I103" s="27">
        <f t="shared" si="8"/>
        <v>1257.6380641041185</v>
      </c>
      <c r="J103" s="116">
        <f t="shared" si="9"/>
        <v>209606.34401735308</v>
      </c>
      <c r="K103" s="15">
        <f>10^((C103-49.012)/(-4.2834))</f>
        <v>304.35780357995264</v>
      </c>
      <c r="L103" s="13">
        <f t="shared" si="10"/>
        <v>60.871560715990526</v>
      </c>
      <c r="M103" s="118">
        <f t="shared" si="11"/>
        <v>4058.1040477327019</v>
      </c>
    </row>
  </sheetData>
  <mergeCells count="4">
    <mergeCell ref="C1:E1"/>
    <mergeCell ref="G1:H1"/>
    <mergeCell ref="I1:J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F249-DEA5-B84C-AC44-969612A0B590}">
  <dimension ref="A1:P30"/>
  <sheetViews>
    <sheetView workbookViewId="0">
      <selection activeCell="D6" sqref="D6"/>
    </sheetView>
  </sheetViews>
  <sheetFormatPr baseColWidth="10" defaultRowHeight="16" x14ac:dyDescent="0.2"/>
  <cols>
    <col min="1" max="1" width="25" customWidth="1"/>
    <col min="3" max="3" width="21.33203125" customWidth="1"/>
  </cols>
  <sheetData>
    <row r="1" spans="1:16" ht="42" x14ac:dyDescent="0.2">
      <c r="A1" s="77" t="s">
        <v>178</v>
      </c>
      <c r="B1" s="78" t="s">
        <v>179</v>
      </c>
      <c r="C1" s="78" t="s">
        <v>180</v>
      </c>
      <c r="D1" s="148" t="s">
        <v>503</v>
      </c>
      <c r="E1" s="82" t="s">
        <v>181</v>
      </c>
      <c r="F1" s="82" t="s">
        <v>504</v>
      </c>
      <c r="G1" s="82" t="s">
        <v>191</v>
      </c>
      <c r="H1" s="82" t="s">
        <v>505</v>
      </c>
      <c r="I1" s="82" t="s">
        <v>198</v>
      </c>
      <c r="J1" s="82" t="s">
        <v>202</v>
      </c>
      <c r="K1" s="82" t="s">
        <v>209</v>
      </c>
      <c r="L1" s="82" t="s">
        <v>216</v>
      </c>
      <c r="M1" s="82" t="s">
        <v>220</v>
      </c>
      <c r="N1" s="82" t="s">
        <v>223</v>
      </c>
      <c r="O1" s="82" t="s">
        <v>225</v>
      </c>
      <c r="P1" s="82" t="s">
        <v>226</v>
      </c>
    </row>
    <row r="2" spans="1:16" ht="61" customHeight="1" x14ac:dyDescent="0.2">
      <c r="A2" s="77"/>
      <c r="B2" s="78"/>
      <c r="C2" s="78"/>
      <c r="D2" s="148" t="s">
        <v>506</v>
      </c>
      <c r="E2" s="82" t="s">
        <v>181</v>
      </c>
      <c r="F2" s="82" t="s">
        <v>507</v>
      </c>
      <c r="G2" s="82" t="s">
        <v>508</v>
      </c>
      <c r="H2" s="82" t="s">
        <v>505</v>
      </c>
      <c r="I2" s="82" t="s">
        <v>509</v>
      </c>
      <c r="J2" s="82" t="s">
        <v>510</v>
      </c>
      <c r="K2" s="82" t="s">
        <v>511</v>
      </c>
      <c r="L2" s="82" t="s">
        <v>512</v>
      </c>
      <c r="M2" s="82" t="s">
        <v>220</v>
      </c>
      <c r="N2" s="82" t="s">
        <v>513</v>
      </c>
      <c r="O2" s="82" t="s">
        <v>225</v>
      </c>
      <c r="P2" s="82" t="s">
        <v>514</v>
      </c>
    </row>
    <row r="3" spans="1:16" s="81" customFormat="1" ht="16" customHeight="1" x14ac:dyDescent="0.2">
      <c r="A3" s="149"/>
      <c r="B3" s="150"/>
      <c r="C3" s="150"/>
      <c r="D3" s="148" t="s">
        <v>515</v>
      </c>
      <c r="E3" s="82">
        <v>0.3</v>
      </c>
      <c r="F3" s="82">
        <v>0.5</v>
      </c>
      <c r="G3" s="82">
        <v>6</v>
      </c>
      <c r="H3" s="82">
        <v>1</v>
      </c>
      <c r="I3" s="82">
        <v>2</v>
      </c>
      <c r="J3" s="82">
        <v>0.4</v>
      </c>
      <c r="K3" s="82">
        <v>0.02</v>
      </c>
      <c r="L3" s="82">
        <v>0.1</v>
      </c>
      <c r="M3" s="85"/>
      <c r="N3" s="82">
        <v>0.3</v>
      </c>
      <c r="O3" s="82">
        <v>4</v>
      </c>
      <c r="P3" s="85"/>
    </row>
    <row r="4" spans="1:16" x14ac:dyDescent="0.2">
      <c r="A4" s="149"/>
      <c r="B4" s="150"/>
      <c r="C4" s="150"/>
      <c r="D4" s="148" t="s">
        <v>516</v>
      </c>
      <c r="E4" s="82" t="s">
        <v>184</v>
      </c>
      <c r="F4" s="82" t="s">
        <v>184</v>
      </c>
      <c r="G4" s="82" t="s">
        <v>192</v>
      </c>
      <c r="H4" s="82" t="s">
        <v>195</v>
      </c>
      <c r="I4" s="82" t="s">
        <v>199</v>
      </c>
      <c r="J4" s="82" t="s">
        <v>184</v>
      </c>
      <c r="K4" s="82" t="s">
        <v>184</v>
      </c>
      <c r="L4" s="82" t="s">
        <v>219</v>
      </c>
      <c r="M4" s="82" t="s">
        <v>222</v>
      </c>
      <c r="N4" s="82" t="s">
        <v>219</v>
      </c>
      <c r="O4" s="82" t="s">
        <v>195</v>
      </c>
      <c r="P4" s="82" t="s">
        <v>227</v>
      </c>
    </row>
    <row r="5" spans="1:16" x14ac:dyDescent="0.2">
      <c r="A5" s="80">
        <v>45627</v>
      </c>
      <c r="B5" s="79">
        <v>238514</v>
      </c>
      <c r="C5" s="75">
        <v>777060</v>
      </c>
    </row>
    <row r="6" spans="1:16" x14ac:dyDescent="0.2">
      <c r="A6" s="73" t="s">
        <v>153</v>
      </c>
      <c r="B6" s="74">
        <v>234954</v>
      </c>
      <c r="C6" s="76">
        <v>849920</v>
      </c>
    </row>
    <row r="7" spans="1:16" x14ac:dyDescent="0.2">
      <c r="A7" s="73" t="s">
        <v>154</v>
      </c>
      <c r="B7" s="74">
        <v>239102</v>
      </c>
      <c r="C7" s="76">
        <v>1056560</v>
      </c>
    </row>
    <row r="8" spans="1:16" x14ac:dyDescent="0.2">
      <c r="A8" s="73" t="s">
        <v>155</v>
      </c>
      <c r="B8" s="74">
        <v>232614</v>
      </c>
      <c r="C8" s="76">
        <v>715530</v>
      </c>
    </row>
    <row r="9" spans="1:16" x14ac:dyDescent="0.2">
      <c r="A9" s="73" t="s">
        <v>156</v>
      </c>
      <c r="B9" s="74">
        <v>225300</v>
      </c>
      <c r="C9" s="76">
        <v>743340</v>
      </c>
    </row>
    <row r="10" spans="1:16" x14ac:dyDescent="0.2">
      <c r="A10" s="73" t="s">
        <v>157</v>
      </c>
      <c r="B10" s="74">
        <v>182373</v>
      </c>
      <c r="C10" s="76">
        <v>780360</v>
      </c>
    </row>
    <row r="11" spans="1:16" x14ac:dyDescent="0.2">
      <c r="A11" s="73" t="s">
        <v>158</v>
      </c>
      <c r="B11" s="74">
        <v>225764</v>
      </c>
      <c r="C11" s="76">
        <v>1243710</v>
      </c>
    </row>
    <row r="12" spans="1:16" x14ac:dyDescent="0.2">
      <c r="A12" s="73" t="s">
        <v>159</v>
      </c>
      <c r="B12" s="74">
        <v>172531</v>
      </c>
      <c r="C12" s="76">
        <v>607230</v>
      </c>
    </row>
    <row r="13" spans="1:16" x14ac:dyDescent="0.2">
      <c r="A13" s="73" t="s">
        <v>160</v>
      </c>
      <c r="B13" s="74">
        <v>169233</v>
      </c>
      <c r="C13" s="76">
        <v>509760</v>
      </c>
    </row>
    <row r="14" spans="1:16" x14ac:dyDescent="0.2">
      <c r="A14" s="73" t="s">
        <v>161</v>
      </c>
      <c r="B14" s="74">
        <v>171863</v>
      </c>
      <c r="C14" s="76">
        <v>756580</v>
      </c>
    </row>
    <row r="15" spans="1:16" x14ac:dyDescent="0.2">
      <c r="A15" s="73" t="s">
        <v>162</v>
      </c>
      <c r="B15" s="74">
        <v>179732</v>
      </c>
      <c r="C15" s="76">
        <v>1168780</v>
      </c>
    </row>
    <row r="16" spans="1:16" x14ac:dyDescent="0.2">
      <c r="A16" s="73" t="s">
        <v>163</v>
      </c>
      <c r="B16" s="74">
        <v>237286</v>
      </c>
      <c r="C16" s="76">
        <v>1019490</v>
      </c>
    </row>
    <row r="17" spans="1:3" x14ac:dyDescent="0.2">
      <c r="A17" s="73" t="s">
        <v>164</v>
      </c>
      <c r="B17" s="74">
        <v>242766</v>
      </c>
      <c r="C17" s="76">
        <v>655970</v>
      </c>
    </row>
    <row r="18" spans="1:3" x14ac:dyDescent="0.2">
      <c r="A18" s="73" t="s">
        <v>165</v>
      </c>
      <c r="B18" s="74">
        <v>196415</v>
      </c>
      <c r="C18" s="76">
        <v>929160</v>
      </c>
    </row>
    <row r="19" spans="1:3" x14ac:dyDescent="0.2">
      <c r="A19" s="73" t="s">
        <v>166</v>
      </c>
      <c r="B19" s="74">
        <v>230455</v>
      </c>
      <c r="C19" s="76">
        <v>900150</v>
      </c>
    </row>
    <row r="20" spans="1:3" x14ac:dyDescent="0.2">
      <c r="A20" s="73" t="s">
        <v>167</v>
      </c>
      <c r="B20" s="74">
        <v>231971</v>
      </c>
      <c r="C20" s="76">
        <v>1031840</v>
      </c>
    </row>
    <row r="21" spans="1:3" x14ac:dyDescent="0.2">
      <c r="A21" s="73" t="s">
        <v>168</v>
      </c>
      <c r="B21" s="74">
        <v>373300</v>
      </c>
      <c r="C21" s="76">
        <v>1195190</v>
      </c>
    </row>
    <row r="22" spans="1:3" x14ac:dyDescent="0.2">
      <c r="A22" s="73" t="s">
        <v>169</v>
      </c>
      <c r="B22" s="74">
        <v>147163</v>
      </c>
      <c r="C22" s="76">
        <v>972408</v>
      </c>
    </row>
    <row r="23" spans="1:3" x14ac:dyDescent="0.2">
      <c r="A23" s="73" t="s">
        <v>170</v>
      </c>
      <c r="B23" s="74">
        <v>173640</v>
      </c>
      <c r="C23" s="76">
        <v>832290</v>
      </c>
    </row>
    <row r="24" spans="1:3" x14ac:dyDescent="0.2">
      <c r="A24" s="73" t="s">
        <v>171</v>
      </c>
      <c r="B24" s="74">
        <v>194151</v>
      </c>
      <c r="C24" s="76">
        <v>853200</v>
      </c>
    </row>
    <row r="25" spans="1:3" x14ac:dyDescent="0.2">
      <c r="A25" s="73" t="s">
        <v>172</v>
      </c>
      <c r="B25" s="74">
        <v>187870</v>
      </c>
      <c r="C25" s="76">
        <v>854470</v>
      </c>
    </row>
    <row r="26" spans="1:3" x14ac:dyDescent="0.2">
      <c r="A26" s="73" t="s">
        <v>173</v>
      </c>
      <c r="B26" s="74">
        <v>194666</v>
      </c>
      <c r="C26" s="76">
        <v>735370</v>
      </c>
    </row>
    <row r="27" spans="1:3" x14ac:dyDescent="0.2">
      <c r="A27" s="73" t="s">
        <v>174</v>
      </c>
      <c r="B27" s="74">
        <v>207000</v>
      </c>
      <c r="C27" s="76">
        <v>709820</v>
      </c>
    </row>
    <row r="28" spans="1:3" x14ac:dyDescent="0.2">
      <c r="A28" s="73" t="s">
        <v>175</v>
      </c>
      <c r="B28" s="74">
        <v>200030</v>
      </c>
      <c r="C28" s="76">
        <v>793380</v>
      </c>
    </row>
    <row r="29" spans="1:3" x14ac:dyDescent="0.2">
      <c r="A29" s="73" t="s">
        <v>176</v>
      </c>
      <c r="B29" s="74">
        <v>234382</v>
      </c>
      <c r="C29" s="76">
        <v>703880</v>
      </c>
    </row>
    <row r="30" spans="1:3" x14ac:dyDescent="0.2">
      <c r="A30" s="73" t="s">
        <v>177</v>
      </c>
      <c r="B30" s="74">
        <v>211763</v>
      </c>
      <c r="C30" s="76">
        <v>823400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8BDE-1CA9-014C-B261-609D2154D950}">
  <dimension ref="A2:E546"/>
  <sheetViews>
    <sheetView workbookViewId="0">
      <selection activeCell="G18" sqref="G18"/>
    </sheetView>
  </sheetViews>
  <sheetFormatPr baseColWidth="10" defaultRowHeight="16" x14ac:dyDescent="0.2"/>
  <cols>
    <col min="2" max="2" width="24" customWidth="1"/>
  </cols>
  <sheetData>
    <row r="2" spans="1:5" x14ac:dyDescent="0.2">
      <c r="A2" s="82" t="s">
        <v>181</v>
      </c>
      <c r="B2" s="83">
        <v>45627.291666666664</v>
      </c>
      <c r="C2" s="82" t="s">
        <v>182</v>
      </c>
      <c r="D2" s="82" t="s">
        <v>183</v>
      </c>
      <c r="E2" s="82" t="s">
        <v>184</v>
      </c>
    </row>
    <row r="3" spans="1:5" ht="28" x14ac:dyDescent="0.2">
      <c r="A3" s="82" t="s">
        <v>185</v>
      </c>
      <c r="B3" s="83">
        <v>45627.291666666664</v>
      </c>
      <c r="C3" s="82">
        <v>44</v>
      </c>
      <c r="D3" s="82" t="s">
        <v>186</v>
      </c>
      <c r="E3" s="82" t="s">
        <v>187</v>
      </c>
    </row>
    <row r="4" spans="1:5" ht="28" x14ac:dyDescent="0.2">
      <c r="A4" s="82" t="s">
        <v>188</v>
      </c>
      <c r="B4" s="83">
        <v>45627.291666666664</v>
      </c>
      <c r="C4" s="82" t="s">
        <v>189</v>
      </c>
      <c r="D4" s="82" t="s">
        <v>190</v>
      </c>
      <c r="E4" s="82" t="s">
        <v>184</v>
      </c>
    </row>
    <row r="5" spans="1:5" ht="28" x14ac:dyDescent="0.2">
      <c r="A5" s="82" t="s">
        <v>191</v>
      </c>
      <c r="B5" s="83">
        <v>45627.291666666664</v>
      </c>
      <c r="C5" s="82">
        <v>124</v>
      </c>
      <c r="D5" s="82">
        <v>3</v>
      </c>
      <c r="E5" s="82" t="s">
        <v>192</v>
      </c>
    </row>
    <row r="6" spans="1:5" x14ac:dyDescent="0.2">
      <c r="A6" s="82" t="s">
        <v>193</v>
      </c>
      <c r="B6" s="83">
        <v>45627.291666666664</v>
      </c>
      <c r="C6" s="82">
        <v>206</v>
      </c>
      <c r="D6" s="82" t="s">
        <v>194</v>
      </c>
      <c r="E6" s="82" t="s">
        <v>195</v>
      </c>
    </row>
    <row r="7" spans="1:5" ht="28" x14ac:dyDescent="0.2">
      <c r="A7" s="82" t="s">
        <v>196</v>
      </c>
      <c r="B7" s="83">
        <v>45627.291666666664</v>
      </c>
      <c r="C7" s="84">
        <v>0.42638888888888887</v>
      </c>
      <c r="D7" s="85"/>
      <c r="E7" s="82" t="s">
        <v>197</v>
      </c>
    </row>
    <row r="8" spans="1:5" ht="28" x14ac:dyDescent="0.2">
      <c r="A8" s="82" t="s">
        <v>198</v>
      </c>
      <c r="B8" s="83">
        <v>45627.291666666664</v>
      </c>
      <c r="C8" s="82">
        <v>205</v>
      </c>
      <c r="D8" s="82">
        <v>2</v>
      </c>
      <c r="E8" s="82" t="s">
        <v>199</v>
      </c>
    </row>
    <row r="9" spans="1:5" x14ac:dyDescent="0.2">
      <c r="A9" s="82" t="s">
        <v>200</v>
      </c>
      <c r="B9" s="83">
        <v>45627.291666666664</v>
      </c>
      <c r="C9" s="82" t="s">
        <v>189</v>
      </c>
      <c r="D9" s="82" t="s">
        <v>201</v>
      </c>
      <c r="E9" s="82" t="s">
        <v>184</v>
      </c>
    </row>
    <row r="10" spans="1:5" x14ac:dyDescent="0.2">
      <c r="A10" s="82" t="s">
        <v>202</v>
      </c>
      <c r="B10" s="83">
        <v>45627.291666666664</v>
      </c>
      <c r="C10" s="82" t="s">
        <v>203</v>
      </c>
      <c r="D10" s="82" t="s">
        <v>204</v>
      </c>
      <c r="E10" s="82" t="s">
        <v>184</v>
      </c>
    </row>
    <row r="11" spans="1:5" ht="28" x14ac:dyDescent="0.2">
      <c r="A11" s="82" t="s">
        <v>205</v>
      </c>
      <c r="B11" s="83">
        <v>45627.291666666664</v>
      </c>
      <c r="C11" s="82" t="s">
        <v>206</v>
      </c>
      <c r="D11" s="82" t="s">
        <v>207</v>
      </c>
      <c r="E11" s="82" t="s">
        <v>208</v>
      </c>
    </row>
    <row r="12" spans="1:5" x14ac:dyDescent="0.2">
      <c r="A12" s="82" t="s">
        <v>209</v>
      </c>
      <c r="B12" s="83">
        <v>45627.291666666664</v>
      </c>
      <c r="C12" s="82" t="s">
        <v>210</v>
      </c>
      <c r="D12" s="82" t="s">
        <v>211</v>
      </c>
      <c r="E12" s="82" t="s">
        <v>184</v>
      </c>
    </row>
    <row r="13" spans="1:5" ht="28" x14ac:dyDescent="0.2">
      <c r="A13" s="82" t="s">
        <v>212</v>
      </c>
      <c r="B13" s="83">
        <v>45627.291666666664</v>
      </c>
      <c r="C13" s="82" t="s">
        <v>213</v>
      </c>
      <c r="D13" s="82" t="s">
        <v>214</v>
      </c>
      <c r="E13" s="82" t="s">
        <v>215</v>
      </c>
    </row>
    <row r="14" spans="1:5" ht="28" x14ac:dyDescent="0.2">
      <c r="A14" s="82" t="s">
        <v>216</v>
      </c>
      <c r="B14" s="83">
        <v>45627.291666666664</v>
      </c>
      <c r="C14" s="82" t="s">
        <v>217</v>
      </c>
      <c r="D14" s="82" t="s">
        <v>218</v>
      </c>
      <c r="E14" s="82" t="s">
        <v>219</v>
      </c>
    </row>
    <row r="15" spans="1:5" x14ac:dyDescent="0.2">
      <c r="A15" s="82" t="s">
        <v>220</v>
      </c>
      <c r="B15" s="83">
        <v>45627.291666666664</v>
      </c>
      <c r="C15" s="82" t="s">
        <v>221</v>
      </c>
      <c r="D15" s="85"/>
      <c r="E15" s="82" t="s">
        <v>222</v>
      </c>
    </row>
    <row r="16" spans="1:5" ht="28" x14ac:dyDescent="0.2">
      <c r="A16" s="82" t="s">
        <v>223</v>
      </c>
      <c r="B16" s="83">
        <v>45627.291666666664</v>
      </c>
      <c r="C16" s="82" t="s">
        <v>224</v>
      </c>
      <c r="D16" s="82" t="s">
        <v>183</v>
      </c>
      <c r="E16" s="82" t="s">
        <v>219</v>
      </c>
    </row>
    <row r="17" spans="1:5" x14ac:dyDescent="0.2">
      <c r="A17" s="82" t="s">
        <v>225</v>
      </c>
      <c r="B17" s="83">
        <v>45627.291666666664</v>
      </c>
      <c r="C17" s="82">
        <v>486</v>
      </c>
      <c r="D17" s="82">
        <v>4</v>
      </c>
      <c r="E17" s="82" t="s">
        <v>195</v>
      </c>
    </row>
    <row r="18" spans="1:5" ht="42" x14ac:dyDescent="0.2">
      <c r="A18" s="82" t="s">
        <v>226</v>
      </c>
      <c r="B18" s="83">
        <v>45627.291666666664</v>
      </c>
      <c r="C18" s="82">
        <v>19</v>
      </c>
      <c r="D18" s="85"/>
      <c r="E18" s="82" t="s">
        <v>227</v>
      </c>
    </row>
    <row r="19" spans="1:5" ht="56" x14ac:dyDescent="0.2">
      <c r="A19" s="82" t="s">
        <v>228</v>
      </c>
      <c r="B19" s="83">
        <v>45627.291666666664</v>
      </c>
      <c r="C19" s="82">
        <v>6</v>
      </c>
      <c r="D19" s="85"/>
      <c r="E19" s="82" t="s">
        <v>227</v>
      </c>
    </row>
    <row r="20" spans="1:5" x14ac:dyDescent="0.2">
      <c r="A20" s="82" t="s">
        <v>181</v>
      </c>
      <c r="B20" s="83">
        <v>45630.291666666664</v>
      </c>
      <c r="C20" s="82" t="s">
        <v>229</v>
      </c>
      <c r="D20" s="82" t="s">
        <v>183</v>
      </c>
      <c r="E20" s="82" t="s">
        <v>184</v>
      </c>
    </row>
    <row r="21" spans="1:5" ht="28" x14ac:dyDescent="0.2">
      <c r="A21" s="82" t="s">
        <v>185</v>
      </c>
      <c r="B21" s="83">
        <v>45630.291666666664</v>
      </c>
      <c r="C21" s="82" t="s">
        <v>230</v>
      </c>
      <c r="D21" s="82" t="s">
        <v>186</v>
      </c>
      <c r="E21" s="82" t="s">
        <v>187</v>
      </c>
    </row>
    <row r="22" spans="1:5" ht="28" x14ac:dyDescent="0.2">
      <c r="A22" s="82" t="s">
        <v>188</v>
      </c>
      <c r="B22" s="83">
        <v>45630.291666666664</v>
      </c>
      <c r="C22" s="82" t="s">
        <v>231</v>
      </c>
      <c r="D22" s="82" t="s">
        <v>190</v>
      </c>
      <c r="E22" s="82" t="s">
        <v>184</v>
      </c>
    </row>
    <row r="23" spans="1:5" ht="28" x14ac:dyDescent="0.2">
      <c r="A23" s="82" t="s">
        <v>191</v>
      </c>
      <c r="B23" s="83">
        <v>45630.291666666664</v>
      </c>
      <c r="C23" s="82">
        <v>132</v>
      </c>
      <c r="D23" s="82">
        <v>3</v>
      </c>
      <c r="E23" s="82" t="s">
        <v>192</v>
      </c>
    </row>
    <row r="24" spans="1:5" x14ac:dyDescent="0.2">
      <c r="A24" s="82" t="s">
        <v>193</v>
      </c>
      <c r="B24" s="83">
        <v>45630.291666666664</v>
      </c>
      <c r="C24" s="82">
        <v>210</v>
      </c>
      <c r="D24" s="82" t="s">
        <v>194</v>
      </c>
      <c r="E24" s="82" t="s">
        <v>195</v>
      </c>
    </row>
    <row r="25" spans="1:5" ht="28" x14ac:dyDescent="0.2">
      <c r="A25" s="82" t="s">
        <v>196</v>
      </c>
      <c r="B25" s="83">
        <v>45630.291666666664</v>
      </c>
      <c r="C25" s="84">
        <v>0.4201388888888889</v>
      </c>
      <c r="D25" s="85"/>
      <c r="E25" s="82" t="s">
        <v>197</v>
      </c>
    </row>
    <row r="26" spans="1:5" ht="28" x14ac:dyDescent="0.2">
      <c r="A26" s="82" t="s">
        <v>198</v>
      </c>
      <c r="B26" s="83">
        <v>45630.291666666664</v>
      </c>
      <c r="C26" s="82">
        <v>245</v>
      </c>
      <c r="D26" s="82">
        <v>2</v>
      </c>
      <c r="E26" s="82" t="s">
        <v>199</v>
      </c>
    </row>
    <row r="27" spans="1:5" x14ac:dyDescent="0.2">
      <c r="A27" s="82" t="s">
        <v>200</v>
      </c>
      <c r="B27" s="83">
        <v>45630.291666666664</v>
      </c>
      <c r="C27" s="82" t="s">
        <v>232</v>
      </c>
      <c r="D27" s="82" t="s">
        <v>201</v>
      </c>
      <c r="E27" s="82" t="s">
        <v>184</v>
      </c>
    </row>
    <row r="28" spans="1:5" x14ac:dyDescent="0.2">
      <c r="A28" s="82" t="s">
        <v>202</v>
      </c>
      <c r="B28" s="83">
        <v>45630.291666666664</v>
      </c>
      <c r="C28" s="82" t="s">
        <v>203</v>
      </c>
      <c r="D28" s="82" t="s">
        <v>204</v>
      </c>
      <c r="E28" s="82" t="s">
        <v>184</v>
      </c>
    </row>
    <row r="29" spans="1:5" ht="28" x14ac:dyDescent="0.2">
      <c r="A29" s="82" t="s">
        <v>205</v>
      </c>
      <c r="B29" s="83">
        <v>45630.291666666664</v>
      </c>
      <c r="C29" s="82" t="s">
        <v>206</v>
      </c>
      <c r="D29" s="82" t="s">
        <v>207</v>
      </c>
      <c r="E29" s="82" t="s">
        <v>208</v>
      </c>
    </row>
    <row r="30" spans="1:5" x14ac:dyDescent="0.2">
      <c r="A30" s="82" t="s">
        <v>209</v>
      </c>
      <c r="B30" s="83">
        <v>45630.291666666664</v>
      </c>
      <c r="C30" s="82" t="s">
        <v>233</v>
      </c>
      <c r="D30" s="82" t="s">
        <v>211</v>
      </c>
      <c r="E30" s="82" t="s">
        <v>184</v>
      </c>
    </row>
    <row r="31" spans="1:5" ht="28" x14ac:dyDescent="0.2">
      <c r="A31" s="82" t="s">
        <v>212</v>
      </c>
      <c r="B31" s="83">
        <v>45630.291666666664</v>
      </c>
      <c r="C31" s="82" t="s">
        <v>234</v>
      </c>
      <c r="D31" s="82" t="s">
        <v>214</v>
      </c>
      <c r="E31" s="82" t="s">
        <v>215</v>
      </c>
    </row>
    <row r="32" spans="1:5" ht="28" x14ac:dyDescent="0.2">
      <c r="A32" s="82" t="s">
        <v>216</v>
      </c>
      <c r="B32" s="83">
        <v>45630.291666666664</v>
      </c>
      <c r="C32" s="82" t="s">
        <v>235</v>
      </c>
      <c r="D32" s="82" t="s">
        <v>218</v>
      </c>
      <c r="E32" s="82" t="s">
        <v>219</v>
      </c>
    </row>
    <row r="33" spans="1:5" x14ac:dyDescent="0.2">
      <c r="A33" s="82" t="s">
        <v>220</v>
      </c>
      <c r="B33" s="83">
        <v>45630.291666666664</v>
      </c>
      <c r="C33" s="82" t="s">
        <v>236</v>
      </c>
      <c r="D33" s="85"/>
      <c r="E33" s="82" t="s">
        <v>222</v>
      </c>
    </row>
    <row r="34" spans="1:5" ht="28" x14ac:dyDescent="0.2">
      <c r="A34" s="82" t="s">
        <v>223</v>
      </c>
      <c r="B34" s="83">
        <v>45630.291666666664</v>
      </c>
      <c r="C34" s="82" t="s">
        <v>237</v>
      </c>
      <c r="D34" s="82" t="s">
        <v>183</v>
      </c>
      <c r="E34" s="82" t="s">
        <v>219</v>
      </c>
    </row>
    <row r="35" spans="1:5" x14ac:dyDescent="0.2">
      <c r="A35" s="82" t="s">
        <v>225</v>
      </c>
      <c r="B35" s="83">
        <v>45630.291666666664</v>
      </c>
      <c r="C35" s="82">
        <v>517</v>
      </c>
      <c r="D35" s="82">
        <v>4</v>
      </c>
      <c r="E35" s="82" t="s">
        <v>195</v>
      </c>
    </row>
    <row r="36" spans="1:5" ht="42" x14ac:dyDescent="0.2">
      <c r="A36" s="82" t="s">
        <v>226</v>
      </c>
      <c r="B36" s="83">
        <v>45630.291666666664</v>
      </c>
      <c r="C36" s="82" t="s">
        <v>238</v>
      </c>
      <c r="D36" s="85"/>
      <c r="E36" s="82" t="s">
        <v>227</v>
      </c>
    </row>
    <row r="37" spans="1:5" ht="56" x14ac:dyDescent="0.2">
      <c r="A37" s="82" t="s">
        <v>228</v>
      </c>
      <c r="B37" s="83">
        <v>45630.291666666664</v>
      </c>
      <c r="C37" s="82" t="s">
        <v>239</v>
      </c>
      <c r="D37" s="85"/>
      <c r="E37" s="82" t="s">
        <v>227</v>
      </c>
    </row>
    <row r="38" spans="1:5" x14ac:dyDescent="0.2">
      <c r="A38" s="82" t="s">
        <v>181</v>
      </c>
      <c r="B38" s="83">
        <v>45634.291666666664</v>
      </c>
      <c r="C38" s="82" t="s">
        <v>240</v>
      </c>
      <c r="D38" s="82" t="s">
        <v>183</v>
      </c>
      <c r="E38" s="82" t="s">
        <v>184</v>
      </c>
    </row>
    <row r="39" spans="1:5" ht="28" x14ac:dyDescent="0.2">
      <c r="A39" s="82" t="s">
        <v>185</v>
      </c>
      <c r="B39" s="83">
        <v>45634.291666666664</v>
      </c>
      <c r="C39" s="82">
        <v>31</v>
      </c>
      <c r="D39" s="82" t="s">
        <v>186</v>
      </c>
      <c r="E39" s="82" t="s">
        <v>187</v>
      </c>
    </row>
    <row r="40" spans="1:5" ht="28" x14ac:dyDescent="0.2">
      <c r="A40" s="82" t="s">
        <v>188</v>
      </c>
      <c r="B40" s="83">
        <v>45634.291666666664</v>
      </c>
      <c r="C40" s="82" t="s">
        <v>241</v>
      </c>
      <c r="D40" s="82" t="s">
        <v>190</v>
      </c>
      <c r="E40" s="82" t="s">
        <v>184</v>
      </c>
    </row>
    <row r="41" spans="1:5" ht="28" x14ac:dyDescent="0.2">
      <c r="A41" s="82" t="s">
        <v>191</v>
      </c>
      <c r="B41" s="83">
        <v>45634.291666666664</v>
      </c>
      <c r="C41" s="82">
        <v>86</v>
      </c>
      <c r="D41" s="82">
        <v>3</v>
      </c>
      <c r="E41" s="82" t="s">
        <v>192</v>
      </c>
    </row>
    <row r="42" spans="1:5" x14ac:dyDescent="0.2">
      <c r="A42" s="82" t="s">
        <v>193</v>
      </c>
      <c r="B42" s="83">
        <v>45634.291666666664</v>
      </c>
      <c r="C42" s="82">
        <v>154</v>
      </c>
      <c r="D42" s="82" t="s">
        <v>194</v>
      </c>
      <c r="E42" s="82" t="s">
        <v>195</v>
      </c>
    </row>
    <row r="43" spans="1:5" ht="28" x14ac:dyDescent="0.2">
      <c r="A43" s="82" t="s">
        <v>196</v>
      </c>
      <c r="B43" s="83">
        <v>45634.291666666664</v>
      </c>
      <c r="C43" s="84">
        <v>0.43055555555555558</v>
      </c>
      <c r="D43" s="85"/>
      <c r="E43" s="82" t="s">
        <v>197</v>
      </c>
    </row>
    <row r="44" spans="1:5" ht="28" x14ac:dyDescent="0.2">
      <c r="A44" s="82" t="s">
        <v>198</v>
      </c>
      <c r="B44" s="83">
        <v>45634.291666666664</v>
      </c>
      <c r="C44" s="82">
        <v>164</v>
      </c>
      <c r="D44" s="82">
        <v>2</v>
      </c>
      <c r="E44" s="82" t="s">
        <v>199</v>
      </c>
    </row>
    <row r="45" spans="1:5" x14ac:dyDescent="0.2">
      <c r="A45" s="82" t="s">
        <v>200</v>
      </c>
      <c r="B45" s="83">
        <v>45634.291666666664</v>
      </c>
      <c r="C45" s="82" t="s">
        <v>242</v>
      </c>
      <c r="D45" s="82" t="s">
        <v>201</v>
      </c>
      <c r="E45" s="82" t="s">
        <v>184</v>
      </c>
    </row>
    <row r="46" spans="1:5" x14ac:dyDescent="0.2">
      <c r="A46" s="82" t="s">
        <v>202</v>
      </c>
      <c r="B46" s="83">
        <v>45634.291666666664</v>
      </c>
      <c r="C46" s="82" t="s">
        <v>243</v>
      </c>
      <c r="D46" s="82" t="s">
        <v>204</v>
      </c>
      <c r="E46" s="82" t="s">
        <v>184</v>
      </c>
    </row>
    <row r="47" spans="1:5" ht="28" x14ac:dyDescent="0.2">
      <c r="A47" s="82" t="s">
        <v>205</v>
      </c>
      <c r="B47" s="83">
        <v>45634.291666666664</v>
      </c>
      <c r="C47" s="82" t="s">
        <v>244</v>
      </c>
      <c r="D47" s="82" t="s">
        <v>207</v>
      </c>
      <c r="E47" s="82" t="s">
        <v>208</v>
      </c>
    </row>
    <row r="48" spans="1:5" x14ac:dyDescent="0.2">
      <c r="A48" s="82" t="s">
        <v>209</v>
      </c>
      <c r="B48" s="83">
        <v>45634.291666666664</v>
      </c>
      <c r="C48" s="82" t="s">
        <v>245</v>
      </c>
      <c r="D48" s="82" t="s">
        <v>211</v>
      </c>
      <c r="E48" s="82" t="s">
        <v>184</v>
      </c>
    </row>
    <row r="49" spans="1:5" ht="28" x14ac:dyDescent="0.2">
      <c r="A49" s="82" t="s">
        <v>212</v>
      </c>
      <c r="B49" s="83">
        <v>45634.291666666664</v>
      </c>
      <c r="C49" s="82" t="s">
        <v>246</v>
      </c>
      <c r="D49" s="82" t="s">
        <v>214</v>
      </c>
      <c r="E49" s="82" t="s">
        <v>215</v>
      </c>
    </row>
    <row r="50" spans="1:5" ht="28" x14ac:dyDescent="0.2">
      <c r="A50" s="82" t="s">
        <v>216</v>
      </c>
      <c r="B50" s="83">
        <v>45634.291666666664</v>
      </c>
      <c r="C50" s="82" t="s">
        <v>247</v>
      </c>
      <c r="D50" s="82" t="s">
        <v>218</v>
      </c>
      <c r="E50" s="82" t="s">
        <v>219</v>
      </c>
    </row>
    <row r="51" spans="1:5" x14ac:dyDescent="0.2">
      <c r="A51" s="82" t="s">
        <v>220</v>
      </c>
      <c r="B51" s="83">
        <v>45634.291666666664</v>
      </c>
      <c r="C51" s="82" t="s">
        <v>248</v>
      </c>
      <c r="D51" s="85"/>
      <c r="E51" s="82" t="s">
        <v>222</v>
      </c>
    </row>
    <row r="52" spans="1:5" ht="28" x14ac:dyDescent="0.2">
      <c r="A52" s="82" t="s">
        <v>223</v>
      </c>
      <c r="B52" s="83">
        <v>45634.291666666664</v>
      </c>
      <c r="C52" s="82" t="s">
        <v>249</v>
      </c>
      <c r="D52" s="82" t="s">
        <v>183</v>
      </c>
      <c r="E52" s="82" t="s">
        <v>219</v>
      </c>
    </row>
    <row r="53" spans="1:5" x14ac:dyDescent="0.2">
      <c r="A53" s="82" t="s">
        <v>225</v>
      </c>
      <c r="B53" s="83">
        <v>45634.291666666664</v>
      </c>
      <c r="C53" s="82">
        <v>340</v>
      </c>
      <c r="D53" s="82">
        <v>4</v>
      </c>
      <c r="E53" s="82" t="s">
        <v>195</v>
      </c>
    </row>
    <row r="54" spans="1:5" ht="42" x14ac:dyDescent="0.2">
      <c r="A54" s="82" t="s">
        <v>226</v>
      </c>
      <c r="B54" s="83">
        <v>45634.291666666664</v>
      </c>
      <c r="C54" s="82" t="s">
        <v>250</v>
      </c>
      <c r="D54" s="85"/>
      <c r="E54" s="82" t="s">
        <v>227</v>
      </c>
    </row>
    <row r="55" spans="1:5" ht="56" x14ac:dyDescent="0.2">
      <c r="A55" s="82" t="s">
        <v>228</v>
      </c>
      <c r="B55" s="83">
        <v>45634.291666666664</v>
      </c>
      <c r="C55" s="82" t="s">
        <v>251</v>
      </c>
      <c r="D55" s="85"/>
      <c r="E55" s="82" t="s">
        <v>227</v>
      </c>
    </row>
    <row r="56" spans="1:5" x14ac:dyDescent="0.2">
      <c r="A56" s="82" t="s">
        <v>181</v>
      </c>
      <c r="B56" s="83">
        <v>45637.291666666664</v>
      </c>
      <c r="C56" s="82" t="s">
        <v>252</v>
      </c>
      <c r="D56" s="82" t="s">
        <v>183</v>
      </c>
      <c r="E56" s="82" t="s">
        <v>184</v>
      </c>
    </row>
    <row r="57" spans="1:5" ht="28" x14ac:dyDescent="0.2">
      <c r="A57" s="82" t="s">
        <v>185</v>
      </c>
      <c r="B57" s="83">
        <v>45637.291666666664</v>
      </c>
      <c r="C57" s="82" t="s">
        <v>253</v>
      </c>
      <c r="D57" s="82" t="s">
        <v>186</v>
      </c>
      <c r="E57" s="82" t="s">
        <v>187</v>
      </c>
    </row>
    <row r="58" spans="1:5" ht="28" x14ac:dyDescent="0.2">
      <c r="A58" s="82" t="s">
        <v>188</v>
      </c>
      <c r="B58" s="83">
        <v>45637.291666666664</v>
      </c>
      <c r="C58" s="82" t="s">
        <v>254</v>
      </c>
      <c r="D58" s="82" t="s">
        <v>190</v>
      </c>
      <c r="E58" s="82" t="s">
        <v>184</v>
      </c>
    </row>
    <row r="59" spans="1:5" ht="28" x14ac:dyDescent="0.2">
      <c r="A59" s="82" t="s">
        <v>191</v>
      </c>
      <c r="B59" s="83">
        <v>45637.291666666664</v>
      </c>
      <c r="C59" s="82">
        <v>107</v>
      </c>
      <c r="D59" s="82">
        <v>3</v>
      </c>
      <c r="E59" s="82" t="s">
        <v>192</v>
      </c>
    </row>
    <row r="60" spans="1:5" x14ac:dyDescent="0.2">
      <c r="A60" s="82" t="s">
        <v>193</v>
      </c>
      <c r="B60" s="83">
        <v>45637.291666666664</v>
      </c>
      <c r="C60" s="82">
        <v>194</v>
      </c>
      <c r="D60" s="82" t="s">
        <v>194</v>
      </c>
      <c r="E60" s="82" t="s">
        <v>195</v>
      </c>
    </row>
    <row r="61" spans="1:5" ht="28" x14ac:dyDescent="0.2">
      <c r="A61" s="82" t="s">
        <v>196</v>
      </c>
      <c r="B61" s="83">
        <v>45637.291666666664</v>
      </c>
      <c r="C61" s="84">
        <v>0.41666666666666669</v>
      </c>
      <c r="D61" s="85"/>
      <c r="E61" s="82" t="s">
        <v>197</v>
      </c>
    </row>
    <row r="62" spans="1:5" ht="28" x14ac:dyDescent="0.2">
      <c r="A62" s="82" t="s">
        <v>198</v>
      </c>
      <c r="B62" s="83">
        <v>45637.291666666664</v>
      </c>
      <c r="C62" s="82">
        <v>220</v>
      </c>
      <c r="D62" s="82">
        <v>2</v>
      </c>
      <c r="E62" s="82" t="s">
        <v>199</v>
      </c>
    </row>
    <row r="63" spans="1:5" x14ac:dyDescent="0.2">
      <c r="A63" s="82" t="s">
        <v>200</v>
      </c>
      <c r="B63" s="83">
        <v>45637.291666666664</v>
      </c>
      <c r="C63" s="82" t="s">
        <v>255</v>
      </c>
      <c r="D63" s="82" t="s">
        <v>201</v>
      </c>
      <c r="E63" s="82" t="s">
        <v>184</v>
      </c>
    </row>
    <row r="64" spans="1:5" x14ac:dyDescent="0.2">
      <c r="A64" s="82" t="s">
        <v>202</v>
      </c>
      <c r="B64" s="83">
        <v>45637.291666666664</v>
      </c>
      <c r="C64" s="82" t="s">
        <v>203</v>
      </c>
      <c r="D64" s="82" t="s">
        <v>204</v>
      </c>
      <c r="E64" s="82" t="s">
        <v>184</v>
      </c>
    </row>
    <row r="65" spans="1:5" ht="28" x14ac:dyDescent="0.2">
      <c r="A65" s="82" t="s">
        <v>205</v>
      </c>
      <c r="B65" s="83">
        <v>45637.291666666664</v>
      </c>
      <c r="C65" s="82" t="s">
        <v>206</v>
      </c>
      <c r="D65" s="82" t="s">
        <v>207</v>
      </c>
      <c r="E65" s="82" t="s">
        <v>208</v>
      </c>
    </row>
    <row r="66" spans="1:5" x14ac:dyDescent="0.2">
      <c r="A66" s="82" t="s">
        <v>209</v>
      </c>
      <c r="B66" s="83">
        <v>45637.291666666664</v>
      </c>
      <c r="C66" s="82" t="s">
        <v>256</v>
      </c>
      <c r="D66" s="82" t="s">
        <v>211</v>
      </c>
      <c r="E66" s="82" t="s">
        <v>184</v>
      </c>
    </row>
    <row r="67" spans="1:5" ht="28" x14ac:dyDescent="0.2">
      <c r="A67" s="82" t="s">
        <v>212</v>
      </c>
      <c r="B67" s="83">
        <v>45637.291666666664</v>
      </c>
      <c r="C67" s="82" t="s">
        <v>257</v>
      </c>
      <c r="D67" s="82" t="s">
        <v>214</v>
      </c>
      <c r="E67" s="82" t="s">
        <v>215</v>
      </c>
    </row>
    <row r="68" spans="1:5" ht="28" x14ac:dyDescent="0.2">
      <c r="A68" s="82" t="s">
        <v>216</v>
      </c>
      <c r="B68" s="83">
        <v>45637.291666666664</v>
      </c>
      <c r="C68" s="82" t="s">
        <v>258</v>
      </c>
      <c r="D68" s="82" t="s">
        <v>218</v>
      </c>
      <c r="E68" s="82" t="s">
        <v>219</v>
      </c>
    </row>
    <row r="69" spans="1:5" x14ac:dyDescent="0.2">
      <c r="A69" s="82" t="s">
        <v>220</v>
      </c>
      <c r="B69" s="83">
        <v>45637.291666666664</v>
      </c>
      <c r="C69" s="82" t="s">
        <v>259</v>
      </c>
      <c r="D69" s="85"/>
      <c r="E69" s="82" t="s">
        <v>222</v>
      </c>
    </row>
    <row r="70" spans="1:5" ht="28" x14ac:dyDescent="0.2">
      <c r="A70" s="82" t="s">
        <v>223</v>
      </c>
      <c r="B70" s="83">
        <v>45637.291666666664</v>
      </c>
      <c r="C70" s="82" t="s">
        <v>260</v>
      </c>
      <c r="D70" s="82" t="s">
        <v>183</v>
      </c>
      <c r="E70" s="82" t="s">
        <v>219</v>
      </c>
    </row>
    <row r="71" spans="1:5" x14ac:dyDescent="0.2">
      <c r="A71" s="82" t="s">
        <v>225</v>
      </c>
      <c r="B71" s="83">
        <v>45637.291666666664</v>
      </c>
      <c r="C71" s="82">
        <v>470</v>
      </c>
      <c r="D71" s="82">
        <v>4</v>
      </c>
      <c r="E71" s="82" t="s">
        <v>195</v>
      </c>
    </row>
    <row r="72" spans="1:5" ht="42" x14ac:dyDescent="0.2">
      <c r="A72" s="82" t="s">
        <v>226</v>
      </c>
      <c r="B72" s="83">
        <v>45637.291666666664</v>
      </c>
      <c r="C72" s="82" t="s">
        <v>261</v>
      </c>
      <c r="D72" s="85"/>
      <c r="E72" s="82" t="s">
        <v>227</v>
      </c>
    </row>
    <row r="73" spans="1:5" ht="56" x14ac:dyDescent="0.2">
      <c r="A73" s="82" t="s">
        <v>228</v>
      </c>
      <c r="B73" s="83">
        <v>45637.291666666664</v>
      </c>
      <c r="C73" s="82" t="s">
        <v>262</v>
      </c>
      <c r="D73" s="85"/>
      <c r="E73" s="82" t="s">
        <v>227</v>
      </c>
    </row>
    <row r="74" spans="1:5" x14ac:dyDescent="0.2">
      <c r="A74" s="82" t="s">
        <v>181</v>
      </c>
      <c r="B74" s="83">
        <v>45641.291666666664</v>
      </c>
      <c r="C74" s="82" t="s">
        <v>263</v>
      </c>
      <c r="D74" s="82" t="s">
        <v>183</v>
      </c>
      <c r="E74" s="82" t="s">
        <v>184</v>
      </c>
    </row>
    <row r="75" spans="1:5" ht="28" x14ac:dyDescent="0.2">
      <c r="A75" s="82" t="s">
        <v>185</v>
      </c>
      <c r="B75" s="83">
        <v>45641.291666666664</v>
      </c>
      <c r="C75" s="82" t="s">
        <v>264</v>
      </c>
      <c r="D75" s="82" t="s">
        <v>186</v>
      </c>
      <c r="E75" s="82" t="s">
        <v>187</v>
      </c>
    </row>
    <row r="76" spans="1:5" ht="28" x14ac:dyDescent="0.2">
      <c r="A76" s="82" t="s">
        <v>188</v>
      </c>
      <c r="B76" s="83">
        <v>45641.291666666664</v>
      </c>
      <c r="C76" s="82" t="s">
        <v>265</v>
      </c>
      <c r="D76" s="82" t="s">
        <v>190</v>
      </c>
      <c r="E76" s="82" t="s">
        <v>184</v>
      </c>
    </row>
    <row r="77" spans="1:5" ht="28" x14ac:dyDescent="0.2">
      <c r="A77" s="82" t="s">
        <v>191</v>
      </c>
      <c r="B77" s="83">
        <v>45641.291666666664</v>
      </c>
      <c r="C77" s="82">
        <v>118</v>
      </c>
      <c r="D77" s="82">
        <v>6</v>
      </c>
      <c r="E77" s="82" t="s">
        <v>192</v>
      </c>
    </row>
    <row r="78" spans="1:5" x14ac:dyDescent="0.2">
      <c r="A78" s="82" t="s">
        <v>193</v>
      </c>
      <c r="B78" s="83">
        <v>45641.291666666664</v>
      </c>
      <c r="C78" s="82">
        <v>182</v>
      </c>
      <c r="D78" s="82" t="s">
        <v>194</v>
      </c>
      <c r="E78" s="82" t="s">
        <v>195</v>
      </c>
    </row>
    <row r="79" spans="1:5" ht="42" x14ac:dyDescent="0.2">
      <c r="A79" s="82" t="s">
        <v>266</v>
      </c>
      <c r="B79" s="83">
        <v>45641.291666666664</v>
      </c>
      <c r="C79" s="82">
        <v>1950000</v>
      </c>
      <c r="D79" s="82">
        <v>3800</v>
      </c>
      <c r="E79" s="82" t="s">
        <v>267</v>
      </c>
    </row>
    <row r="80" spans="1:5" ht="28" x14ac:dyDescent="0.2">
      <c r="A80" s="82" t="s">
        <v>268</v>
      </c>
      <c r="B80" s="83">
        <v>45641.291666666664</v>
      </c>
      <c r="C80" s="82">
        <v>8180000</v>
      </c>
      <c r="D80" s="82">
        <v>3800</v>
      </c>
      <c r="E80" s="82" t="s">
        <v>267</v>
      </c>
    </row>
    <row r="81" spans="1:5" ht="28" x14ac:dyDescent="0.2">
      <c r="A81" s="82" t="s">
        <v>196</v>
      </c>
      <c r="B81" s="83">
        <v>45641.291666666664</v>
      </c>
      <c r="C81" s="84">
        <v>0.43263888888888891</v>
      </c>
      <c r="D81" s="85"/>
      <c r="E81" s="82" t="s">
        <v>197</v>
      </c>
    </row>
    <row r="82" spans="1:5" ht="28" x14ac:dyDescent="0.2">
      <c r="A82" s="82" t="s">
        <v>198</v>
      </c>
      <c r="B82" s="83">
        <v>45641.291666666664</v>
      </c>
      <c r="C82" s="82">
        <v>233</v>
      </c>
      <c r="D82" s="82">
        <v>2</v>
      </c>
      <c r="E82" s="82" t="s">
        <v>199</v>
      </c>
    </row>
    <row r="83" spans="1:5" x14ac:dyDescent="0.2">
      <c r="A83" s="82" t="s">
        <v>200</v>
      </c>
      <c r="B83" s="83">
        <v>45641.291666666664</v>
      </c>
      <c r="C83" s="82" t="s">
        <v>269</v>
      </c>
      <c r="D83" s="82" t="s">
        <v>201</v>
      </c>
      <c r="E83" s="82" t="s">
        <v>184</v>
      </c>
    </row>
    <row r="84" spans="1:5" x14ac:dyDescent="0.2">
      <c r="A84" s="82" t="s">
        <v>202</v>
      </c>
      <c r="B84" s="83">
        <v>45641.291666666664</v>
      </c>
      <c r="C84" s="82" t="s">
        <v>203</v>
      </c>
      <c r="D84" s="82" t="s">
        <v>204</v>
      </c>
      <c r="E84" s="82" t="s">
        <v>184</v>
      </c>
    </row>
    <row r="85" spans="1:5" ht="28" x14ac:dyDescent="0.2">
      <c r="A85" s="82" t="s">
        <v>205</v>
      </c>
      <c r="B85" s="83">
        <v>45641.291666666664</v>
      </c>
      <c r="C85" s="82" t="s">
        <v>206</v>
      </c>
      <c r="D85" s="82" t="s">
        <v>207</v>
      </c>
      <c r="E85" s="82" t="s">
        <v>208</v>
      </c>
    </row>
    <row r="86" spans="1:5" x14ac:dyDescent="0.2">
      <c r="A86" s="82" t="s">
        <v>209</v>
      </c>
      <c r="B86" s="83">
        <v>45641.291666666664</v>
      </c>
      <c r="C86" s="82" t="s">
        <v>270</v>
      </c>
      <c r="D86" s="82" t="s">
        <v>211</v>
      </c>
      <c r="E86" s="82" t="s">
        <v>184</v>
      </c>
    </row>
    <row r="87" spans="1:5" ht="28" x14ac:dyDescent="0.2">
      <c r="A87" s="82" t="s">
        <v>212</v>
      </c>
      <c r="B87" s="83">
        <v>45641.291666666664</v>
      </c>
      <c r="C87" s="82" t="s">
        <v>271</v>
      </c>
      <c r="D87" s="82" t="s">
        <v>214</v>
      </c>
      <c r="E87" s="82" t="s">
        <v>215</v>
      </c>
    </row>
    <row r="88" spans="1:5" ht="28" x14ac:dyDescent="0.2">
      <c r="A88" s="82" t="s">
        <v>216</v>
      </c>
      <c r="B88" s="83">
        <v>45641.291666666664</v>
      </c>
      <c r="C88" s="82" t="s">
        <v>217</v>
      </c>
      <c r="D88" s="82" t="s">
        <v>218</v>
      </c>
      <c r="E88" s="82" t="s">
        <v>219</v>
      </c>
    </row>
    <row r="89" spans="1:5" x14ac:dyDescent="0.2">
      <c r="A89" s="82" t="s">
        <v>220</v>
      </c>
      <c r="B89" s="83">
        <v>45641.291666666664</v>
      </c>
      <c r="C89" s="82" t="s">
        <v>272</v>
      </c>
      <c r="D89" s="85"/>
      <c r="E89" s="82" t="s">
        <v>222</v>
      </c>
    </row>
    <row r="90" spans="1:5" ht="28" x14ac:dyDescent="0.2">
      <c r="A90" s="82" t="s">
        <v>223</v>
      </c>
      <c r="B90" s="83">
        <v>45641.291666666664</v>
      </c>
      <c r="C90" s="82" t="s">
        <v>273</v>
      </c>
      <c r="D90" s="82" t="s">
        <v>183</v>
      </c>
      <c r="E90" s="82" t="s">
        <v>219</v>
      </c>
    </row>
    <row r="91" spans="1:5" ht="84" x14ac:dyDescent="0.2">
      <c r="A91" s="82" t="s">
        <v>274</v>
      </c>
      <c r="B91" s="83">
        <v>45641.291666666664</v>
      </c>
      <c r="C91" s="82">
        <v>150000</v>
      </c>
      <c r="D91" s="82">
        <v>1000</v>
      </c>
      <c r="E91" s="82" t="s">
        <v>275</v>
      </c>
    </row>
    <row r="92" spans="1:5" x14ac:dyDescent="0.2">
      <c r="A92" s="82" t="s">
        <v>225</v>
      </c>
      <c r="B92" s="83">
        <v>45641.291666666664</v>
      </c>
      <c r="C92" s="82">
        <v>492</v>
      </c>
      <c r="D92" s="82">
        <v>4</v>
      </c>
      <c r="E92" s="82" t="s">
        <v>195</v>
      </c>
    </row>
    <row r="93" spans="1:5" ht="42" x14ac:dyDescent="0.2">
      <c r="A93" s="82" t="s">
        <v>226</v>
      </c>
      <c r="B93" s="83">
        <v>45641.291666666664</v>
      </c>
      <c r="C93" s="82" t="s">
        <v>276</v>
      </c>
      <c r="D93" s="85"/>
      <c r="E93" s="82" t="s">
        <v>227</v>
      </c>
    </row>
    <row r="94" spans="1:5" ht="56" x14ac:dyDescent="0.2">
      <c r="A94" s="82" t="s">
        <v>228</v>
      </c>
      <c r="B94" s="83">
        <v>45641.291666666664</v>
      </c>
      <c r="C94" s="82">
        <v>5</v>
      </c>
      <c r="D94" s="85"/>
      <c r="E94" s="82" t="s">
        <v>227</v>
      </c>
    </row>
    <row r="95" spans="1:5" x14ac:dyDescent="0.2">
      <c r="A95" s="82" t="s">
        <v>181</v>
      </c>
      <c r="B95" s="83">
        <v>45644.291666666664</v>
      </c>
      <c r="C95" s="82" t="s">
        <v>277</v>
      </c>
      <c r="D95" s="82" t="s">
        <v>183</v>
      </c>
      <c r="E95" s="82" t="s">
        <v>184</v>
      </c>
    </row>
    <row r="96" spans="1:5" ht="28" x14ac:dyDescent="0.2">
      <c r="A96" s="82" t="s">
        <v>185</v>
      </c>
      <c r="B96" s="83">
        <v>45644.291666666664</v>
      </c>
      <c r="C96" s="82" t="s">
        <v>278</v>
      </c>
      <c r="D96" s="82" t="s">
        <v>186</v>
      </c>
      <c r="E96" s="82" t="s">
        <v>187</v>
      </c>
    </row>
    <row r="97" spans="1:5" ht="28" x14ac:dyDescent="0.2">
      <c r="A97" s="82" t="s">
        <v>188</v>
      </c>
      <c r="B97" s="83">
        <v>45644.291666666664</v>
      </c>
      <c r="C97" s="82" t="s">
        <v>279</v>
      </c>
      <c r="D97" s="82" t="s">
        <v>190</v>
      </c>
      <c r="E97" s="82" t="s">
        <v>184</v>
      </c>
    </row>
    <row r="98" spans="1:5" ht="28" x14ac:dyDescent="0.2">
      <c r="A98" s="82" t="s">
        <v>191</v>
      </c>
      <c r="B98" s="83">
        <v>45644.291666666664</v>
      </c>
      <c r="C98" s="82">
        <v>146</v>
      </c>
      <c r="D98" s="82">
        <v>6</v>
      </c>
      <c r="E98" s="82" t="s">
        <v>192</v>
      </c>
    </row>
    <row r="99" spans="1:5" x14ac:dyDescent="0.2">
      <c r="A99" s="82" t="s">
        <v>193</v>
      </c>
      <c r="B99" s="83">
        <v>45644.291666666664</v>
      </c>
      <c r="C99" s="82">
        <v>168</v>
      </c>
      <c r="D99" s="82" t="s">
        <v>194</v>
      </c>
      <c r="E99" s="82" t="s">
        <v>195</v>
      </c>
    </row>
    <row r="100" spans="1:5" ht="28" x14ac:dyDescent="0.2">
      <c r="A100" s="82" t="s">
        <v>196</v>
      </c>
      <c r="B100" s="83">
        <v>45644.291666666664</v>
      </c>
      <c r="C100" s="84">
        <v>0.41666666666666669</v>
      </c>
      <c r="D100" s="85"/>
      <c r="E100" s="82" t="s">
        <v>197</v>
      </c>
    </row>
    <row r="101" spans="1:5" ht="28" x14ac:dyDescent="0.2">
      <c r="A101" s="82" t="s">
        <v>198</v>
      </c>
      <c r="B101" s="83">
        <v>45644.291666666664</v>
      </c>
      <c r="C101" s="82">
        <v>238</v>
      </c>
      <c r="D101" s="82">
        <v>2</v>
      </c>
      <c r="E101" s="82" t="s">
        <v>199</v>
      </c>
    </row>
    <row r="102" spans="1:5" x14ac:dyDescent="0.2">
      <c r="A102" s="82" t="s">
        <v>200</v>
      </c>
      <c r="B102" s="83">
        <v>45644.291666666664</v>
      </c>
      <c r="C102" s="82" t="s">
        <v>280</v>
      </c>
      <c r="D102" s="82" t="s">
        <v>201</v>
      </c>
      <c r="E102" s="82" t="s">
        <v>184</v>
      </c>
    </row>
    <row r="103" spans="1:5" x14ac:dyDescent="0.2">
      <c r="A103" s="82" t="s">
        <v>202</v>
      </c>
      <c r="B103" s="83">
        <v>45644.291666666664</v>
      </c>
      <c r="C103" s="82" t="s">
        <v>203</v>
      </c>
      <c r="D103" s="82" t="s">
        <v>204</v>
      </c>
      <c r="E103" s="82" t="s">
        <v>184</v>
      </c>
    </row>
    <row r="104" spans="1:5" ht="28" x14ac:dyDescent="0.2">
      <c r="A104" s="82" t="s">
        <v>205</v>
      </c>
      <c r="B104" s="83">
        <v>45644.291666666664</v>
      </c>
      <c r="C104" s="82" t="s">
        <v>206</v>
      </c>
      <c r="D104" s="82" t="s">
        <v>207</v>
      </c>
      <c r="E104" s="82" t="s">
        <v>208</v>
      </c>
    </row>
    <row r="105" spans="1:5" x14ac:dyDescent="0.2">
      <c r="A105" s="82" t="s">
        <v>209</v>
      </c>
      <c r="B105" s="83">
        <v>45644.291666666664</v>
      </c>
      <c r="C105" s="82" t="s">
        <v>281</v>
      </c>
      <c r="D105" s="82" t="s">
        <v>211</v>
      </c>
      <c r="E105" s="82" t="s">
        <v>184</v>
      </c>
    </row>
    <row r="106" spans="1:5" ht="28" x14ac:dyDescent="0.2">
      <c r="A106" s="82" t="s">
        <v>212</v>
      </c>
      <c r="B106" s="83">
        <v>45644.291666666664</v>
      </c>
      <c r="C106" s="82" t="s">
        <v>282</v>
      </c>
      <c r="D106" s="82" t="s">
        <v>214</v>
      </c>
      <c r="E106" s="82" t="s">
        <v>215</v>
      </c>
    </row>
    <row r="107" spans="1:5" ht="28" x14ac:dyDescent="0.2">
      <c r="A107" s="82" t="s">
        <v>216</v>
      </c>
      <c r="B107" s="83">
        <v>45644.291666666664</v>
      </c>
      <c r="C107" s="82" t="s">
        <v>258</v>
      </c>
      <c r="D107" s="82" t="s">
        <v>218</v>
      </c>
      <c r="E107" s="82" t="s">
        <v>219</v>
      </c>
    </row>
    <row r="108" spans="1:5" x14ac:dyDescent="0.2">
      <c r="A108" s="82" t="s">
        <v>220</v>
      </c>
      <c r="B108" s="83">
        <v>45644.291666666664</v>
      </c>
      <c r="C108" s="82" t="s">
        <v>259</v>
      </c>
      <c r="D108" s="85"/>
      <c r="E108" s="82" t="s">
        <v>222</v>
      </c>
    </row>
    <row r="109" spans="1:5" ht="28" x14ac:dyDescent="0.2">
      <c r="A109" s="82" t="s">
        <v>223</v>
      </c>
      <c r="B109" s="83">
        <v>45644.291666666664</v>
      </c>
      <c r="C109" s="82" t="s">
        <v>283</v>
      </c>
      <c r="D109" s="82" t="s">
        <v>183</v>
      </c>
      <c r="E109" s="82" t="s">
        <v>219</v>
      </c>
    </row>
    <row r="110" spans="1:5" x14ac:dyDescent="0.2">
      <c r="A110" s="82" t="s">
        <v>225</v>
      </c>
      <c r="B110" s="83">
        <v>45644.291666666664</v>
      </c>
      <c r="C110" s="82">
        <v>591</v>
      </c>
      <c r="D110" s="82">
        <v>4</v>
      </c>
      <c r="E110" s="82" t="s">
        <v>195</v>
      </c>
    </row>
    <row r="111" spans="1:5" ht="42" x14ac:dyDescent="0.2">
      <c r="A111" s="82" t="s">
        <v>226</v>
      </c>
      <c r="B111" s="83">
        <v>45644.291666666664</v>
      </c>
      <c r="C111" s="82" t="s">
        <v>284</v>
      </c>
      <c r="D111" s="85"/>
      <c r="E111" s="82" t="s">
        <v>227</v>
      </c>
    </row>
    <row r="112" spans="1:5" ht="56" x14ac:dyDescent="0.2">
      <c r="A112" s="82" t="s">
        <v>228</v>
      </c>
      <c r="B112" s="83">
        <v>45644.291666666664</v>
      </c>
      <c r="C112" s="82" t="s">
        <v>285</v>
      </c>
      <c r="D112" s="85"/>
      <c r="E112" s="82" t="s">
        <v>227</v>
      </c>
    </row>
    <row r="113" spans="1:5" x14ac:dyDescent="0.2">
      <c r="A113" s="82" t="s">
        <v>181</v>
      </c>
      <c r="B113" s="83">
        <v>45648.291666666664</v>
      </c>
      <c r="C113" s="82" t="s">
        <v>286</v>
      </c>
      <c r="D113" s="82" t="s">
        <v>183</v>
      </c>
      <c r="E113" s="82" t="s">
        <v>184</v>
      </c>
    </row>
    <row r="114" spans="1:5" ht="28" x14ac:dyDescent="0.2">
      <c r="A114" s="82" t="s">
        <v>185</v>
      </c>
      <c r="B114" s="83">
        <v>45648.291666666664</v>
      </c>
      <c r="C114" s="82" t="s">
        <v>287</v>
      </c>
      <c r="D114" s="82" t="s">
        <v>186</v>
      </c>
      <c r="E114" s="82" t="s">
        <v>187</v>
      </c>
    </row>
    <row r="115" spans="1:5" ht="28" x14ac:dyDescent="0.2">
      <c r="A115" s="82" t="s">
        <v>188</v>
      </c>
      <c r="B115" s="83">
        <v>45648.291666666664</v>
      </c>
      <c r="C115" s="82" t="s">
        <v>288</v>
      </c>
      <c r="D115" s="82" t="s">
        <v>190</v>
      </c>
      <c r="E115" s="82" t="s">
        <v>184</v>
      </c>
    </row>
    <row r="116" spans="1:5" ht="28" x14ac:dyDescent="0.2">
      <c r="A116" s="82" t="s">
        <v>191</v>
      </c>
      <c r="B116" s="83">
        <v>45648.291666666664</v>
      </c>
      <c r="C116" s="82">
        <v>76</v>
      </c>
      <c r="D116" s="82">
        <v>6</v>
      </c>
      <c r="E116" s="82" t="s">
        <v>192</v>
      </c>
    </row>
    <row r="117" spans="1:5" x14ac:dyDescent="0.2">
      <c r="A117" s="82" t="s">
        <v>193</v>
      </c>
      <c r="B117" s="83">
        <v>45648.291666666664</v>
      </c>
      <c r="C117" s="82">
        <v>132</v>
      </c>
      <c r="D117" s="82" t="s">
        <v>194</v>
      </c>
      <c r="E117" s="82" t="s">
        <v>195</v>
      </c>
    </row>
    <row r="118" spans="1:5" ht="28" x14ac:dyDescent="0.2">
      <c r="A118" s="82" t="s">
        <v>196</v>
      </c>
      <c r="B118" s="83">
        <v>45648.291666666664</v>
      </c>
      <c r="C118" s="84">
        <v>0.42708333333333331</v>
      </c>
      <c r="D118" s="85"/>
      <c r="E118" s="82" t="s">
        <v>197</v>
      </c>
    </row>
    <row r="119" spans="1:5" ht="28" x14ac:dyDescent="0.2">
      <c r="A119" s="82" t="s">
        <v>198</v>
      </c>
      <c r="B119" s="83">
        <v>45648.291666666664</v>
      </c>
      <c r="C119" s="82">
        <v>140</v>
      </c>
      <c r="D119" s="82">
        <v>2</v>
      </c>
      <c r="E119" s="82" t="s">
        <v>199</v>
      </c>
    </row>
    <row r="120" spans="1:5" x14ac:dyDescent="0.2">
      <c r="A120" s="82" t="s">
        <v>200</v>
      </c>
      <c r="B120" s="83">
        <v>45648.291666666664</v>
      </c>
      <c r="C120" s="82" t="s">
        <v>240</v>
      </c>
      <c r="D120" s="82" t="s">
        <v>201</v>
      </c>
      <c r="E120" s="82" t="s">
        <v>184</v>
      </c>
    </row>
    <row r="121" spans="1:5" x14ac:dyDescent="0.2">
      <c r="A121" s="82" t="s">
        <v>202</v>
      </c>
      <c r="B121" s="83">
        <v>45648.291666666664</v>
      </c>
      <c r="C121" s="82" t="s">
        <v>246</v>
      </c>
      <c r="D121" s="82" t="s">
        <v>204</v>
      </c>
      <c r="E121" s="82" t="s">
        <v>184</v>
      </c>
    </row>
    <row r="122" spans="1:5" ht="28" x14ac:dyDescent="0.2">
      <c r="A122" s="82" t="s">
        <v>205</v>
      </c>
      <c r="B122" s="83">
        <v>45648.291666666664</v>
      </c>
      <c r="C122" s="82" t="s">
        <v>289</v>
      </c>
      <c r="D122" s="82" t="s">
        <v>207</v>
      </c>
      <c r="E122" s="82" t="s">
        <v>208</v>
      </c>
    </row>
    <row r="123" spans="1:5" x14ac:dyDescent="0.2">
      <c r="A123" s="82" t="s">
        <v>209</v>
      </c>
      <c r="B123" s="83">
        <v>45648.291666666664</v>
      </c>
      <c r="C123" s="82" t="s">
        <v>290</v>
      </c>
      <c r="D123" s="82" t="s">
        <v>211</v>
      </c>
      <c r="E123" s="82" t="s">
        <v>184</v>
      </c>
    </row>
    <row r="124" spans="1:5" ht="28" x14ac:dyDescent="0.2">
      <c r="A124" s="82" t="s">
        <v>212</v>
      </c>
      <c r="B124" s="83">
        <v>45648.291666666664</v>
      </c>
      <c r="C124" s="82" t="s">
        <v>291</v>
      </c>
      <c r="D124" s="82" t="s">
        <v>214</v>
      </c>
      <c r="E124" s="82" t="s">
        <v>215</v>
      </c>
    </row>
    <row r="125" spans="1:5" ht="28" x14ac:dyDescent="0.2">
      <c r="A125" s="82" t="s">
        <v>216</v>
      </c>
      <c r="B125" s="83">
        <v>45648.291666666664</v>
      </c>
      <c r="C125" s="82" t="s">
        <v>292</v>
      </c>
      <c r="D125" s="82" t="s">
        <v>218</v>
      </c>
      <c r="E125" s="82" t="s">
        <v>219</v>
      </c>
    </row>
    <row r="126" spans="1:5" x14ac:dyDescent="0.2">
      <c r="A126" s="82" t="s">
        <v>220</v>
      </c>
      <c r="B126" s="83">
        <v>45648.291666666664</v>
      </c>
      <c r="C126" s="82" t="s">
        <v>293</v>
      </c>
      <c r="D126" s="85"/>
      <c r="E126" s="82" t="s">
        <v>222</v>
      </c>
    </row>
    <row r="127" spans="1:5" ht="28" x14ac:dyDescent="0.2">
      <c r="A127" s="82" t="s">
        <v>223</v>
      </c>
      <c r="B127" s="83">
        <v>45648.291666666664</v>
      </c>
      <c r="C127" s="82" t="s">
        <v>246</v>
      </c>
      <c r="D127" s="82" t="s">
        <v>183</v>
      </c>
      <c r="E127" s="82" t="s">
        <v>219</v>
      </c>
    </row>
    <row r="128" spans="1:5" x14ac:dyDescent="0.2">
      <c r="A128" s="82" t="s">
        <v>225</v>
      </c>
      <c r="B128" s="83">
        <v>45648.291666666664</v>
      </c>
      <c r="C128" s="82">
        <v>368</v>
      </c>
      <c r="D128" s="82">
        <v>4</v>
      </c>
      <c r="E128" s="82" t="s">
        <v>195</v>
      </c>
    </row>
    <row r="129" spans="1:5" ht="42" x14ac:dyDescent="0.2">
      <c r="A129" s="82" t="s">
        <v>226</v>
      </c>
      <c r="B129" s="83">
        <v>45648.291666666664</v>
      </c>
      <c r="C129" s="82" t="s">
        <v>287</v>
      </c>
      <c r="D129" s="85"/>
      <c r="E129" s="82" t="s">
        <v>227</v>
      </c>
    </row>
    <row r="130" spans="1:5" ht="56" x14ac:dyDescent="0.2">
      <c r="A130" s="82" t="s">
        <v>228</v>
      </c>
      <c r="B130" s="83">
        <v>45648.291666666664</v>
      </c>
      <c r="C130" s="82" t="s">
        <v>294</v>
      </c>
      <c r="D130" s="85"/>
      <c r="E130" s="82" t="s">
        <v>227</v>
      </c>
    </row>
    <row r="131" spans="1:5" x14ac:dyDescent="0.2">
      <c r="A131" s="82" t="s">
        <v>181</v>
      </c>
      <c r="B131" s="83">
        <v>45651.291666666664</v>
      </c>
      <c r="C131" s="82" t="s">
        <v>295</v>
      </c>
      <c r="D131" s="82" t="s">
        <v>183</v>
      </c>
      <c r="E131" s="82" t="s">
        <v>184</v>
      </c>
    </row>
    <row r="132" spans="1:5" ht="28" x14ac:dyDescent="0.2">
      <c r="A132" s="82" t="s">
        <v>185</v>
      </c>
      <c r="B132" s="83">
        <v>45651.291666666664</v>
      </c>
      <c r="C132" s="82" t="s">
        <v>296</v>
      </c>
      <c r="D132" s="82" t="s">
        <v>186</v>
      </c>
      <c r="E132" s="82" t="s">
        <v>187</v>
      </c>
    </row>
    <row r="133" spans="1:5" ht="28" x14ac:dyDescent="0.2">
      <c r="A133" s="82" t="s">
        <v>188</v>
      </c>
      <c r="B133" s="83">
        <v>45651.291666666664</v>
      </c>
      <c r="C133" s="82" t="s">
        <v>297</v>
      </c>
      <c r="D133" s="82" t="s">
        <v>190</v>
      </c>
      <c r="E133" s="82" t="s">
        <v>184</v>
      </c>
    </row>
    <row r="134" spans="1:5" ht="28" x14ac:dyDescent="0.2">
      <c r="A134" s="82" t="s">
        <v>191</v>
      </c>
      <c r="B134" s="83">
        <v>45651.291666666664</v>
      </c>
      <c r="C134" s="82">
        <v>91</v>
      </c>
      <c r="D134" s="82">
        <v>3</v>
      </c>
      <c r="E134" s="82" t="s">
        <v>192</v>
      </c>
    </row>
    <row r="135" spans="1:5" x14ac:dyDescent="0.2">
      <c r="A135" s="82" t="s">
        <v>193</v>
      </c>
      <c r="B135" s="83">
        <v>45651.291666666664</v>
      </c>
      <c r="C135" s="82">
        <v>176</v>
      </c>
      <c r="D135" s="82" t="s">
        <v>194</v>
      </c>
      <c r="E135" s="82" t="s">
        <v>195</v>
      </c>
    </row>
    <row r="136" spans="1:5" ht="28" x14ac:dyDescent="0.2">
      <c r="A136" s="82" t="s">
        <v>196</v>
      </c>
      <c r="B136" s="83">
        <v>45651.291666666664</v>
      </c>
      <c r="C136" s="84">
        <v>0.40416666666666667</v>
      </c>
      <c r="D136" s="85"/>
      <c r="E136" s="82" t="s">
        <v>197</v>
      </c>
    </row>
    <row r="137" spans="1:5" ht="28" x14ac:dyDescent="0.2">
      <c r="A137" s="82" t="s">
        <v>198</v>
      </c>
      <c r="B137" s="83">
        <v>45651.291666666664</v>
      </c>
      <c r="C137" s="82">
        <v>153</v>
      </c>
      <c r="D137" s="82">
        <v>2</v>
      </c>
      <c r="E137" s="82" t="s">
        <v>199</v>
      </c>
    </row>
    <row r="138" spans="1:5" x14ac:dyDescent="0.2">
      <c r="A138" s="82" t="s">
        <v>200</v>
      </c>
      <c r="B138" s="83">
        <v>45651.291666666664</v>
      </c>
      <c r="C138" s="82" t="s">
        <v>298</v>
      </c>
      <c r="D138" s="82" t="s">
        <v>201</v>
      </c>
      <c r="E138" s="82" t="s">
        <v>184</v>
      </c>
    </row>
    <row r="139" spans="1:5" x14ac:dyDescent="0.2">
      <c r="A139" s="82" t="s">
        <v>202</v>
      </c>
      <c r="B139" s="83">
        <v>45651.291666666664</v>
      </c>
      <c r="C139" s="82" t="s">
        <v>299</v>
      </c>
      <c r="D139" s="82" t="s">
        <v>204</v>
      </c>
      <c r="E139" s="82" t="s">
        <v>184</v>
      </c>
    </row>
    <row r="140" spans="1:5" ht="28" x14ac:dyDescent="0.2">
      <c r="A140" s="82" t="s">
        <v>205</v>
      </c>
      <c r="B140" s="83">
        <v>45651.291666666664</v>
      </c>
      <c r="C140" s="82" t="s">
        <v>300</v>
      </c>
      <c r="D140" s="82" t="s">
        <v>207</v>
      </c>
      <c r="E140" s="82" t="s">
        <v>208</v>
      </c>
    </row>
    <row r="141" spans="1:5" x14ac:dyDescent="0.2">
      <c r="A141" s="82" t="s">
        <v>209</v>
      </c>
      <c r="B141" s="83">
        <v>45651.291666666664</v>
      </c>
      <c r="C141" s="82" t="s">
        <v>301</v>
      </c>
      <c r="D141" s="82" t="s">
        <v>211</v>
      </c>
      <c r="E141" s="82" t="s">
        <v>184</v>
      </c>
    </row>
    <row r="142" spans="1:5" ht="28" x14ac:dyDescent="0.2">
      <c r="A142" s="82" t="s">
        <v>212</v>
      </c>
      <c r="B142" s="83">
        <v>45651.291666666664</v>
      </c>
      <c r="C142" s="82" t="s">
        <v>217</v>
      </c>
      <c r="D142" s="82" t="s">
        <v>214</v>
      </c>
      <c r="E142" s="82" t="s">
        <v>215</v>
      </c>
    </row>
    <row r="143" spans="1:5" ht="28" x14ac:dyDescent="0.2">
      <c r="A143" s="82" t="s">
        <v>216</v>
      </c>
      <c r="B143" s="83">
        <v>45651.291666666664</v>
      </c>
      <c r="C143" s="82">
        <v>2</v>
      </c>
      <c r="D143" s="82" t="s">
        <v>218</v>
      </c>
      <c r="E143" s="82" t="s">
        <v>219</v>
      </c>
    </row>
    <row r="144" spans="1:5" x14ac:dyDescent="0.2">
      <c r="A144" s="82" t="s">
        <v>220</v>
      </c>
      <c r="B144" s="83">
        <v>45651.291666666664</v>
      </c>
      <c r="C144" s="82" t="s">
        <v>302</v>
      </c>
      <c r="D144" s="85"/>
      <c r="E144" s="82" t="s">
        <v>222</v>
      </c>
    </row>
    <row r="145" spans="1:5" ht="28" x14ac:dyDescent="0.2">
      <c r="A145" s="82" t="s">
        <v>223</v>
      </c>
      <c r="B145" s="83">
        <v>45651.291666666664</v>
      </c>
      <c r="C145" s="82" t="s">
        <v>249</v>
      </c>
      <c r="D145" s="82" t="s">
        <v>183</v>
      </c>
      <c r="E145" s="82" t="s">
        <v>219</v>
      </c>
    </row>
    <row r="146" spans="1:5" x14ac:dyDescent="0.2">
      <c r="A146" s="82" t="s">
        <v>225</v>
      </c>
      <c r="B146" s="83">
        <v>45651.291666666664</v>
      </c>
      <c r="C146" s="82">
        <v>349</v>
      </c>
      <c r="D146" s="82">
        <v>4</v>
      </c>
      <c r="E146" s="82" t="s">
        <v>195</v>
      </c>
    </row>
    <row r="147" spans="1:5" ht="42" x14ac:dyDescent="0.2">
      <c r="A147" s="82" t="s">
        <v>226</v>
      </c>
      <c r="B147" s="83">
        <v>45651.291666666664</v>
      </c>
      <c r="C147" s="82" t="s">
        <v>303</v>
      </c>
      <c r="D147" s="85"/>
      <c r="E147" s="82" t="s">
        <v>227</v>
      </c>
    </row>
    <row r="148" spans="1:5" ht="56" x14ac:dyDescent="0.2">
      <c r="A148" s="82" t="s">
        <v>228</v>
      </c>
      <c r="B148" s="83">
        <v>45651.291666666664</v>
      </c>
      <c r="C148" s="82" t="s">
        <v>249</v>
      </c>
      <c r="D148" s="85"/>
      <c r="E148" s="82" t="s">
        <v>227</v>
      </c>
    </row>
    <row r="149" spans="1:5" x14ac:dyDescent="0.2">
      <c r="A149" s="82" t="s">
        <v>181</v>
      </c>
      <c r="B149" s="83">
        <v>45655.291666666664</v>
      </c>
      <c r="C149" s="82" t="s">
        <v>304</v>
      </c>
      <c r="D149" s="82" t="s">
        <v>183</v>
      </c>
      <c r="E149" s="82" t="s">
        <v>184</v>
      </c>
    </row>
    <row r="150" spans="1:5" ht="28" x14ac:dyDescent="0.2">
      <c r="A150" s="82" t="s">
        <v>185</v>
      </c>
      <c r="B150" s="83">
        <v>45655.291666666664</v>
      </c>
      <c r="C150" s="82" t="s">
        <v>305</v>
      </c>
      <c r="D150" s="82" t="s">
        <v>186</v>
      </c>
      <c r="E150" s="82" t="s">
        <v>187</v>
      </c>
    </row>
    <row r="151" spans="1:5" ht="28" x14ac:dyDescent="0.2">
      <c r="A151" s="82" t="s">
        <v>188</v>
      </c>
      <c r="B151" s="83">
        <v>45655.291666666664</v>
      </c>
      <c r="C151" s="82" t="s">
        <v>280</v>
      </c>
      <c r="D151" s="82" t="s">
        <v>190</v>
      </c>
      <c r="E151" s="82" t="s">
        <v>184</v>
      </c>
    </row>
    <row r="152" spans="1:5" ht="28" x14ac:dyDescent="0.2">
      <c r="A152" s="82" t="s">
        <v>191</v>
      </c>
      <c r="B152" s="83">
        <v>45655.291666666664</v>
      </c>
      <c r="C152" s="82">
        <v>111</v>
      </c>
      <c r="D152" s="82">
        <v>3</v>
      </c>
      <c r="E152" s="82" t="s">
        <v>192</v>
      </c>
    </row>
    <row r="153" spans="1:5" x14ac:dyDescent="0.2">
      <c r="A153" s="82" t="s">
        <v>193</v>
      </c>
      <c r="B153" s="83">
        <v>45655.291666666664</v>
      </c>
      <c r="C153" s="82">
        <v>108</v>
      </c>
      <c r="D153" s="82" t="s">
        <v>194</v>
      </c>
      <c r="E153" s="82" t="s">
        <v>195</v>
      </c>
    </row>
    <row r="154" spans="1:5" ht="28" x14ac:dyDescent="0.2">
      <c r="A154" s="82" t="s">
        <v>196</v>
      </c>
      <c r="B154" s="83">
        <v>45655.291666666664</v>
      </c>
      <c r="C154" s="84">
        <v>0.4236111111111111</v>
      </c>
      <c r="D154" s="85"/>
      <c r="E154" s="82" t="s">
        <v>197</v>
      </c>
    </row>
    <row r="155" spans="1:5" ht="28" x14ac:dyDescent="0.2">
      <c r="A155" s="82" t="s">
        <v>198</v>
      </c>
      <c r="B155" s="83">
        <v>45655.291666666664</v>
      </c>
      <c r="C155" s="82">
        <v>191</v>
      </c>
      <c r="D155" s="82">
        <v>2</v>
      </c>
      <c r="E155" s="82" t="s">
        <v>199</v>
      </c>
    </row>
    <row r="156" spans="1:5" x14ac:dyDescent="0.2">
      <c r="A156" s="82" t="s">
        <v>200</v>
      </c>
      <c r="B156" s="83">
        <v>45655.291666666664</v>
      </c>
      <c r="C156" s="82" t="s">
        <v>306</v>
      </c>
      <c r="D156" s="82" t="s">
        <v>201</v>
      </c>
      <c r="E156" s="82" t="s">
        <v>184</v>
      </c>
    </row>
    <row r="157" spans="1:5" x14ac:dyDescent="0.2">
      <c r="A157" s="82" t="s">
        <v>202</v>
      </c>
      <c r="B157" s="83">
        <v>45655.291666666664</v>
      </c>
      <c r="C157" s="82" t="s">
        <v>203</v>
      </c>
      <c r="D157" s="82" t="s">
        <v>204</v>
      </c>
      <c r="E157" s="82" t="s">
        <v>184</v>
      </c>
    </row>
    <row r="158" spans="1:5" ht="28" x14ac:dyDescent="0.2">
      <c r="A158" s="82" t="s">
        <v>205</v>
      </c>
      <c r="B158" s="83">
        <v>45655.291666666664</v>
      </c>
      <c r="C158" s="82" t="s">
        <v>206</v>
      </c>
      <c r="D158" s="82" t="s">
        <v>207</v>
      </c>
      <c r="E158" s="82" t="s">
        <v>208</v>
      </c>
    </row>
    <row r="159" spans="1:5" x14ac:dyDescent="0.2">
      <c r="A159" s="82" t="s">
        <v>209</v>
      </c>
      <c r="B159" s="83">
        <v>45655.291666666664</v>
      </c>
      <c r="C159" s="82" t="s">
        <v>307</v>
      </c>
      <c r="D159" s="82" t="s">
        <v>211</v>
      </c>
      <c r="E159" s="82" t="s">
        <v>184</v>
      </c>
    </row>
    <row r="160" spans="1:5" ht="28" x14ac:dyDescent="0.2">
      <c r="A160" s="82" t="s">
        <v>212</v>
      </c>
      <c r="B160" s="83">
        <v>45655.291666666664</v>
      </c>
      <c r="C160" s="82" t="s">
        <v>308</v>
      </c>
      <c r="D160" s="82" t="s">
        <v>214</v>
      </c>
      <c r="E160" s="82" t="s">
        <v>215</v>
      </c>
    </row>
    <row r="161" spans="1:5" ht="28" x14ac:dyDescent="0.2">
      <c r="A161" s="82" t="s">
        <v>216</v>
      </c>
      <c r="B161" s="83">
        <v>45655.291666666664</v>
      </c>
      <c r="C161" s="82" t="s">
        <v>246</v>
      </c>
      <c r="D161" s="82" t="s">
        <v>218</v>
      </c>
      <c r="E161" s="82" t="s">
        <v>219</v>
      </c>
    </row>
    <row r="162" spans="1:5" x14ac:dyDescent="0.2">
      <c r="A162" s="82" t="s">
        <v>220</v>
      </c>
      <c r="B162" s="83">
        <v>45655.291666666664</v>
      </c>
      <c r="C162" s="82">
        <v>8</v>
      </c>
      <c r="D162" s="85"/>
      <c r="E162" s="82" t="s">
        <v>222</v>
      </c>
    </row>
    <row r="163" spans="1:5" ht="28" x14ac:dyDescent="0.2">
      <c r="A163" s="82" t="s">
        <v>223</v>
      </c>
      <c r="B163" s="83">
        <v>45655.291666666664</v>
      </c>
      <c r="C163" s="82" t="s">
        <v>309</v>
      </c>
      <c r="D163" s="82" t="s">
        <v>183</v>
      </c>
      <c r="E163" s="82" t="s">
        <v>219</v>
      </c>
    </row>
    <row r="164" spans="1:5" x14ac:dyDescent="0.2">
      <c r="A164" s="82" t="s">
        <v>225</v>
      </c>
      <c r="B164" s="83">
        <v>45655.291666666664</v>
      </c>
      <c r="C164" s="82">
        <v>438</v>
      </c>
      <c r="D164" s="82">
        <v>4</v>
      </c>
      <c r="E164" s="82" t="s">
        <v>195</v>
      </c>
    </row>
    <row r="165" spans="1:5" ht="42" x14ac:dyDescent="0.2">
      <c r="A165" s="82" t="s">
        <v>226</v>
      </c>
      <c r="B165" s="83">
        <v>45655.291666666664</v>
      </c>
      <c r="C165" s="82" t="s">
        <v>310</v>
      </c>
      <c r="D165" s="85"/>
      <c r="E165" s="82" t="s">
        <v>227</v>
      </c>
    </row>
    <row r="166" spans="1:5" ht="56" x14ac:dyDescent="0.2">
      <c r="A166" s="82" t="s">
        <v>228</v>
      </c>
      <c r="B166" s="83">
        <v>45655.291666666664</v>
      </c>
      <c r="C166" s="82" t="s">
        <v>237</v>
      </c>
      <c r="D166" s="85"/>
      <c r="E166" s="82" t="s">
        <v>227</v>
      </c>
    </row>
    <row r="167" spans="1:5" x14ac:dyDescent="0.2">
      <c r="A167" s="82" t="s">
        <v>181</v>
      </c>
      <c r="B167" s="83">
        <v>45658.291666666664</v>
      </c>
      <c r="C167" s="82" t="s">
        <v>311</v>
      </c>
      <c r="D167" s="82" t="s">
        <v>183</v>
      </c>
      <c r="E167" s="82" t="s">
        <v>184</v>
      </c>
    </row>
    <row r="168" spans="1:5" ht="28" x14ac:dyDescent="0.2">
      <c r="A168" s="82" t="s">
        <v>185</v>
      </c>
      <c r="B168" s="83">
        <v>45658.291666666664</v>
      </c>
      <c r="C168" s="82" t="s">
        <v>297</v>
      </c>
      <c r="D168" s="82" t="s">
        <v>186</v>
      </c>
      <c r="E168" s="82" t="s">
        <v>187</v>
      </c>
    </row>
    <row r="169" spans="1:5" ht="28" x14ac:dyDescent="0.2">
      <c r="A169" s="82" t="s">
        <v>188</v>
      </c>
      <c r="B169" s="83">
        <v>45658.291666666664</v>
      </c>
      <c r="C169" s="82" t="s">
        <v>312</v>
      </c>
      <c r="D169" s="82" t="s">
        <v>190</v>
      </c>
      <c r="E169" s="82" t="s">
        <v>184</v>
      </c>
    </row>
    <row r="170" spans="1:5" x14ac:dyDescent="0.2">
      <c r="A170" s="82" t="s">
        <v>193</v>
      </c>
      <c r="B170" s="83">
        <v>45658.291666666664</v>
      </c>
      <c r="C170" s="82">
        <v>170</v>
      </c>
      <c r="D170" s="82" t="s">
        <v>194</v>
      </c>
      <c r="E170" s="82" t="s">
        <v>195</v>
      </c>
    </row>
    <row r="171" spans="1:5" ht="28" x14ac:dyDescent="0.2">
      <c r="A171" s="82" t="s">
        <v>196</v>
      </c>
      <c r="B171" s="83">
        <v>45658.291666666664</v>
      </c>
      <c r="C171" s="84">
        <v>0.41666666666666669</v>
      </c>
      <c r="D171" s="85"/>
      <c r="E171" s="82" t="s">
        <v>197</v>
      </c>
    </row>
    <row r="172" spans="1:5" ht="28" x14ac:dyDescent="0.2">
      <c r="A172" s="82" t="s">
        <v>198</v>
      </c>
      <c r="B172" s="83">
        <v>45658.291666666664</v>
      </c>
      <c r="C172" s="82">
        <v>237</v>
      </c>
      <c r="D172" s="82">
        <v>2</v>
      </c>
      <c r="E172" s="82" t="s">
        <v>199</v>
      </c>
    </row>
    <row r="173" spans="1:5" x14ac:dyDescent="0.2">
      <c r="A173" s="82" t="s">
        <v>200</v>
      </c>
      <c r="B173" s="83">
        <v>45658.291666666664</v>
      </c>
      <c r="C173" s="82" t="s">
        <v>313</v>
      </c>
      <c r="D173" s="82" t="s">
        <v>201</v>
      </c>
      <c r="E173" s="82" t="s">
        <v>184</v>
      </c>
    </row>
    <row r="174" spans="1:5" x14ac:dyDescent="0.2">
      <c r="A174" s="82" t="s">
        <v>202</v>
      </c>
      <c r="B174" s="83">
        <v>45658.291666666664</v>
      </c>
      <c r="C174" s="82" t="s">
        <v>314</v>
      </c>
      <c r="D174" s="82" t="s">
        <v>204</v>
      </c>
      <c r="E174" s="82" t="s">
        <v>184</v>
      </c>
    </row>
    <row r="175" spans="1:5" ht="28" x14ac:dyDescent="0.2">
      <c r="A175" s="82" t="s">
        <v>205</v>
      </c>
      <c r="B175" s="83">
        <v>45658.291666666664</v>
      </c>
      <c r="C175" s="82" t="s">
        <v>315</v>
      </c>
      <c r="D175" s="82" t="s">
        <v>207</v>
      </c>
      <c r="E175" s="82" t="s">
        <v>208</v>
      </c>
    </row>
    <row r="176" spans="1:5" x14ac:dyDescent="0.2">
      <c r="A176" s="82" t="s">
        <v>209</v>
      </c>
      <c r="B176" s="83">
        <v>45658.291666666664</v>
      </c>
      <c r="C176" s="82" t="s">
        <v>183</v>
      </c>
      <c r="D176" s="82" t="s">
        <v>211</v>
      </c>
      <c r="E176" s="82" t="s">
        <v>184</v>
      </c>
    </row>
    <row r="177" spans="1:5" ht="28" x14ac:dyDescent="0.2">
      <c r="A177" s="82" t="s">
        <v>212</v>
      </c>
      <c r="B177" s="83">
        <v>45658.291666666664</v>
      </c>
      <c r="C177" s="82">
        <v>1</v>
      </c>
      <c r="D177" s="82" t="s">
        <v>214</v>
      </c>
      <c r="E177" s="82" t="s">
        <v>215</v>
      </c>
    </row>
    <row r="178" spans="1:5" ht="28" x14ac:dyDescent="0.2">
      <c r="A178" s="82" t="s">
        <v>216</v>
      </c>
      <c r="B178" s="83">
        <v>45658.291666666664</v>
      </c>
      <c r="C178" s="82" t="s">
        <v>246</v>
      </c>
      <c r="D178" s="82" t="s">
        <v>218</v>
      </c>
      <c r="E178" s="82" t="s">
        <v>219</v>
      </c>
    </row>
    <row r="179" spans="1:5" x14ac:dyDescent="0.2">
      <c r="A179" s="82" t="s">
        <v>220</v>
      </c>
      <c r="B179" s="83">
        <v>45658.291666666664</v>
      </c>
      <c r="C179" s="82" t="s">
        <v>316</v>
      </c>
      <c r="D179" s="85"/>
      <c r="E179" s="82" t="s">
        <v>222</v>
      </c>
    </row>
    <row r="180" spans="1:5" ht="28" x14ac:dyDescent="0.2">
      <c r="A180" s="82" t="s">
        <v>223</v>
      </c>
      <c r="B180" s="83">
        <v>45658.291666666664</v>
      </c>
      <c r="C180" s="82" t="s">
        <v>260</v>
      </c>
      <c r="D180" s="82" t="s">
        <v>183</v>
      </c>
      <c r="E180" s="82" t="s">
        <v>219</v>
      </c>
    </row>
    <row r="181" spans="1:5" x14ac:dyDescent="0.2">
      <c r="A181" s="82" t="s">
        <v>225</v>
      </c>
      <c r="B181" s="83">
        <v>45658.291666666664</v>
      </c>
      <c r="C181" s="82">
        <v>528</v>
      </c>
      <c r="D181" s="82">
        <v>4</v>
      </c>
      <c r="E181" s="82" t="s">
        <v>195</v>
      </c>
    </row>
    <row r="182" spans="1:5" ht="42" x14ac:dyDescent="0.2">
      <c r="A182" s="82" t="s">
        <v>226</v>
      </c>
      <c r="B182" s="83">
        <v>45658.291666666664</v>
      </c>
      <c r="C182" s="82" t="s">
        <v>261</v>
      </c>
      <c r="D182" s="85"/>
      <c r="E182" s="82" t="s">
        <v>227</v>
      </c>
    </row>
    <row r="183" spans="1:5" ht="56" x14ac:dyDescent="0.2">
      <c r="A183" s="82" t="s">
        <v>228</v>
      </c>
      <c r="B183" s="83">
        <v>45658.291666666664</v>
      </c>
      <c r="C183" s="82" t="s">
        <v>260</v>
      </c>
      <c r="D183" s="85"/>
      <c r="E183" s="82" t="s">
        <v>227</v>
      </c>
    </row>
    <row r="184" spans="1:5" x14ac:dyDescent="0.2">
      <c r="A184" s="82" t="s">
        <v>317</v>
      </c>
      <c r="B184" s="83">
        <v>45662.291666666664</v>
      </c>
      <c r="C184" s="82" t="s">
        <v>318</v>
      </c>
      <c r="D184" s="85"/>
      <c r="E184" s="82" t="s">
        <v>197</v>
      </c>
    </row>
    <row r="185" spans="1:5" x14ac:dyDescent="0.2">
      <c r="A185" s="82" t="s">
        <v>181</v>
      </c>
      <c r="B185" s="83">
        <v>45662.291666666664</v>
      </c>
      <c r="C185" s="82" t="s">
        <v>319</v>
      </c>
      <c r="D185" s="82" t="s">
        <v>183</v>
      </c>
      <c r="E185" s="82" t="s">
        <v>184</v>
      </c>
    </row>
    <row r="186" spans="1:5" ht="28" x14ac:dyDescent="0.2">
      <c r="A186" s="82" t="s">
        <v>185</v>
      </c>
      <c r="B186" s="83">
        <v>45662.291666666664</v>
      </c>
      <c r="C186" s="82" t="s">
        <v>320</v>
      </c>
      <c r="D186" s="82" t="s">
        <v>186</v>
      </c>
      <c r="E186" s="82" t="s">
        <v>187</v>
      </c>
    </row>
    <row r="187" spans="1:5" ht="28" x14ac:dyDescent="0.2">
      <c r="A187" s="82" t="s">
        <v>188</v>
      </c>
      <c r="B187" s="83">
        <v>45662.291666666664</v>
      </c>
      <c r="C187" s="82" t="s">
        <v>277</v>
      </c>
      <c r="D187" s="82" t="s">
        <v>190</v>
      </c>
      <c r="E187" s="82" t="s">
        <v>184</v>
      </c>
    </row>
    <row r="188" spans="1:5" x14ac:dyDescent="0.2">
      <c r="A188" s="82" t="s">
        <v>193</v>
      </c>
      <c r="B188" s="83">
        <v>45662.291666666664</v>
      </c>
      <c r="C188" s="82">
        <v>139</v>
      </c>
      <c r="D188" s="82" t="s">
        <v>194</v>
      </c>
      <c r="E188" s="82" t="s">
        <v>195</v>
      </c>
    </row>
    <row r="189" spans="1:5" ht="28" x14ac:dyDescent="0.2">
      <c r="A189" s="82" t="s">
        <v>196</v>
      </c>
      <c r="B189" s="83">
        <v>45662.291666666664</v>
      </c>
      <c r="C189" s="84">
        <v>0.41458333333333336</v>
      </c>
      <c r="D189" s="85"/>
      <c r="E189" s="82" t="s">
        <v>197</v>
      </c>
    </row>
    <row r="190" spans="1:5" ht="28" x14ac:dyDescent="0.2">
      <c r="A190" s="82" t="s">
        <v>198</v>
      </c>
      <c r="B190" s="83">
        <v>45662.291666666664</v>
      </c>
      <c r="C190" s="82">
        <v>137</v>
      </c>
      <c r="D190" s="82">
        <v>2</v>
      </c>
      <c r="E190" s="82" t="s">
        <v>199</v>
      </c>
    </row>
    <row r="191" spans="1:5" x14ac:dyDescent="0.2">
      <c r="A191" s="82" t="s">
        <v>200</v>
      </c>
      <c r="B191" s="83">
        <v>45662.291666666664</v>
      </c>
      <c r="C191" s="82" t="s">
        <v>321</v>
      </c>
      <c r="D191" s="82" t="s">
        <v>201</v>
      </c>
      <c r="E191" s="82" t="s">
        <v>184</v>
      </c>
    </row>
    <row r="192" spans="1:5" x14ac:dyDescent="0.2">
      <c r="A192" s="82" t="s">
        <v>202</v>
      </c>
      <c r="B192" s="83">
        <v>45662.291666666664</v>
      </c>
      <c r="C192" s="82" t="s">
        <v>322</v>
      </c>
      <c r="D192" s="82" t="s">
        <v>204</v>
      </c>
      <c r="E192" s="82" t="s">
        <v>184</v>
      </c>
    </row>
    <row r="193" spans="1:5" ht="28" x14ac:dyDescent="0.2">
      <c r="A193" s="82" t="s">
        <v>205</v>
      </c>
      <c r="B193" s="83">
        <v>45662.291666666664</v>
      </c>
      <c r="C193" s="82" t="s">
        <v>323</v>
      </c>
      <c r="D193" s="82" t="s">
        <v>207</v>
      </c>
      <c r="E193" s="82" t="s">
        <v>208</v>
      </c>
    </row>
    <row r="194" spans="1:5" x14ac:dyDescent="0.2">
      <c r="A194" s="82" t="s">
        <v>209</v>
      </c>
      <c r="B194" s="83">
        <v>45662.291666666664</v>
      </c>
      <c r="C194" s="82" t="s">
        <v>324</v>
      </c>
      <c r="D194" s="82" t="s">
        <v>211</v>
      </c>
      <c r="E194" s="82" t="s">
        <v>184</v>
      </c>
    </row>
    <row r="195" spans="1:5" ht="28" x14ac:dyDescent="0.2">
      <c r="A195" s="82" t="s">
        <v>212</v>
      </c>
      <c r="B195" s="83">
        <v>45662.291666666664</v>
      </c>
      <c r="C195" s="82" t="s">
        <v>325</v>
      </c>
      <c r="D195" s="82" t="s">
        <v>214</v>
      </c>
      <c r="E195" s="82" t="s">
        <v>215</v>
      </c>
    </row>
    <row r="196" spans="1:5" ht="28" x14ac:dyDescent="0.2">
      <c r="A196" s="82" t="s">
        <v>216</v>
      </c>
      <c r="B196" s="83">
        <v>45662.291666666664</v>
      </c>
      <c r="C196" s="82" t="s">
        <v>326</v>
      </c>
      <c r="D196" s="82" t="s">
        <v>218</v>
      </c>
      <c r="E196" s="82" t="s">
        <v>219</v>
      </c>
    </row>
    <row r="197" spans="1:5" x14ac:dyDescent="0.2">
      <c r="A197" s="82" t="s">
        <v>220</v>
      </c>
      <c r="B197" s="83">
        <v>45662.291666666664</v>
      </c>
      <c r="C197" s="82" t="s">
        <v>327</v>
      </c>
      <c r="D197" s="85"/>
      <c r="E197" s="82" t="s">
        <v>222</v>
      </c>
    </row>
    <row r="198" spans="1:5" ht="28" x14ac:dyDescent="0.2">
      <c r="A198" s="82" t="s">
        <v>223</v>
      </c>
      <c r="B198" s="83">
        <v>45662.291666666664</v>
      </c>
      <c r="C198" s="82" t="s">
        <v>328</v>
      </c>
      <c r="D198" s="82" t="s">
        <v>183</v>
      </c>
      <c r="E198" s="82" t="s">
        <v>219</v>
      </c>
    </row>
    <row r="199" spans="1:5" x14ac:dyDescent="0.2">
      <c r="A199" s="82" t="s">
        <v>225</v>
      </c>
      <c r="B199" s="83">
        <v>45662.291666666664</v>
      </c>
      <c r="C199" s="82">
        <v>341</v>
      </c>
      <c r="D199" s="82">
        <v>4</v>
      </c>
      <c r="E199" s="82" t="s">
        <v>195</v>
      </c>
    </row>
    <row r="200" spans="1:5" ht="42" x14ac:dyDescent="0.2">
      <c r="A200" s="82" t="s">
        <v>226</v>
      </c>
      <c r="B200" s="83">
        <v>45662.291666666664</v>
      </c>
      <c r="C200" s="82" t="s">
        <v>329</v>
      </c>
      <c r="D200" s="85"/>
      <c r="E200" s="82" t="s">
        <v>227</v>
      </c>
    </row>
    <row r="201" spans="1:5" ht="56" x14ac:dyDescent="0.2">
      <c r="A201" s="82" t="s">
        <v>228</v>
      </c>
      <c r="B201" s="83">
        <v>45662.291666666664</v>
      </c>
      <c r="C201" s="82" t="s">
        <v>283</v>
      </c>
      <c r="D201" s="85"/>
      <c r="E201" s="82" t="s">
        <v>227</v>
      </c>
    </row>
    <row r="202" spans="1:5" x14ac:dyDescent="0.2">
      <c r="A202" s="82" t="s">
        <v>181</v>
      </c>
      <c r="B202" s="83">
        <v>45665.291666666664</v>
      </c>
      <c r="C202" s="82" t="s">
        <v>250</v>
      </c>
      <c r="D202" s="82" t="s">
        <v>183</v>
      </c>
      <c r="E202" s="82" t="s">
        <v>184</v>
      </c>
    </row>
    <row r="203" spans="1:5" ht="28" x14ac:dyDescent="0.2">
      <c r="A203" s="82" t="s">
        <v>185</v>
      </c>
      <c r="B203" s="83">
        <v>45665.291666666664</v>
      </c>
      <c r="C203" s="82" t="s">
        <v>330</v>
      </c>
      <c r="D203" s="82" t="s">
        <v>186</v>
      </c>
      <c r="E203" s="82" t="s">
        <v>187</v>
      </c>
    </row>
    <row r="204" spans="1:5" ht="28" x14ac:dyDescent="0.2">
      <c r="A204" s="82" t="s">
        <v>188</v>
      </c>
      <c r="B204" s="83">
        <v>45665.291666666664</v>
      </c>
      <c r="C204" s="82" t="s">
        <v>331</v>
      </c>
      <c r="D204" s="82" t="s">
        <v>190</v>
      </c>
      <c r="E204" s="82" t="s">
        <v>184</v>
      </c>
    </row>
    <row r="205" spans="1:5" x14ac:dyDescent="0.2">
      <c r="A205" s="82" t="s">
        <v>193</v>
      </c>
      <c r="B205" s="83">
        <v>45665.291666666664</v>
      </c>
      <c r="C205" s="82">
        <v>195</v>
      </c>
      <c r="D205" s="82" t="s">
        <v>194</v>
      </c>
      <c r="E205" s="82" t="s">
        <v>195</v>
      </c>
    </row>
    <row r="206" spans="1:5" ht="28" x14ac:dyDescent="0.2">
      <c r="A206" s="82" t="s">
        <v>196</v>
      </c>
      <c r="B206" s="83">
        <v>45665.291666666664</v>
      </c>
      <c r="C206" s="84">
        <v>0.40625</v>
      </c>
      <c r="D206" s="85"/>
      <c r="E206" s="82" t="s">
        <v>197</v>
      </c>
    </row>
    <row r="207" spans="1:5" ht="28" x14ac:dyDescent="0.2">
      <c r="A207" s="82" t="s">
        <v>198</v>
      </c>
      <c r="B207" s="83">
        <v>45665.291666666664</v>
      </c>
      <c r="C207" s="82">
        <v>191</v>
      </c>
      <c r="D207" s="82">
        <v>2</v>
      </c>
      <c r="E207" s="82" t="s">
        <v>199</v>
      </c>
    </row>
    <row r="208" spans="1:5" x14ac:dyDescent="0.2">
      <c r="A208" s="82" t="s">
        <v>200</v>
      </c>
      <c r="B208" s="83">
        <v>45665.291666666664</v>
      </c>
      <c r="C208" s="82" t="s">
        <v>332</v>
      </c>
      <c r="D208" s="82" t="s">
        <v>201</v>
      </c>
      <c r="E208" s="82" t="s">
        <v>184</v>
      </c>
    </row>
    <row r="209" spans="1:5" x14ac:dyDescent="0.2">
      <c r="A209" s="82" t="s">
        <v>202</v>
      </c>
      <c r="B209" s="83">
        <v>45665.291666666664</v>
      </c>
      <c r="C209" s="82" t="s">
        <v>247</v>
      </c>
      <c r="D209" s="82" t="s">
        <v>204</v>
      </c>
      <c r="E209" s="82" t="s">
        <v>184</v>
      </c>
    </row>
    <row r="210" spans="1:5" ht="28" x14ac:dyDescent="0.2">
      <c r="A210" s="82" t="s">
        <v>205</v>
      </c>
      <c r="B210" s="83">
        <v>45665.291666666664</v>
      </c>
      <c r="C210" s="82" t="s">
        <v>333</v>
      </c>
      <c r="D210" s="82" t="s">
        <v>207</v>
      </c>
      <c r="E210" s="82" t="s">
        <v>208</v>
      </c>
    </row>
    <row r="211" spans="1:5" x14ac:dyDescent="0.2">
      <c r="A211" s="82" t="s">
        <v>209</v>
      </c>
      <c r="B211" s="83">
        <v>45665.291666666664</v>
      </c>
      <c r="C211" s="82" t="s">
        <v>334</v>
      </c>
      <c r="D211" s="82" t="s">
        <v>211</v>
      </c>
      <c r="E211" s="82" t="s">
        <v>184</v>
      </c>
    </row>
    <row r="212" spans="1:5" ht="28" x14ac:dyDescent="0.2">
      <c r="A212" s="82" t="s">
        <v>212</v>
      </c>
      <c r="B212" s="83">
        <v>45665.291666666664</v>
      </c>
      <c r="C212" s="82" t="s">
        <v>257</v>
      </c>
      <c r="D212" s="82" t="s">
        <v>214</v>
      </c>
      <c r="E212" s="82" t="s">
        <v>215</v>
      </c>
    </row>
    <row r="213" spans="1:5" ht="28" x14ac:dyDescent="0.2">
      <c r="A213" s="82" t="s">
        <v>216</v>
      </c>
      <c r="B213" s="83">
        <v>45665.291666666664</v>
      </c>
      <c r="C213" s="82" t="s">
        <v>326</v>
      </c>
      <c r="D213" s="82" t="s">
        <v>218</v>
      </c>
      <c r="E213" s="82" t="s">
        <v>219</v>
      </c>
    </row>
    <row r="214" spans="1:5" x14ac:dyDescent="0.2">
      <c r="A214" s="82" t="s">
        <v>220</v>
      </c>
      <c r="B214" s="83">
        <v>45665.291666666664</v>
      </c>
      <c r="C214" s="82" t="s">
        <v>335</v>
      </c>
      <c r="D214" s="85"/>
      <c r="E214" s="82" t="s">
        <v>222</v>
      </c>
    </row>
    <row r="215" spans="1:5" ht="28" x14ac:dyDescent="0.2">
      <c r="A215" s="82" t="s">
        <v>223</v>
      </c>
      <c r="B215" s="83">
        <v>45665.291666666664</v>
      </c>
      <c r="C215" s="82" t="s">
        <v>336</v>
      </c>
      <c r="D215" s="82" t="s">
        <v>183</v>
      </c>
      <c r="E215" s="82" t="s">
        <v>219</v>
      </c>
    </row>
    <row r="216" spans="1:5" x14ac:dyDescent="0.2">
      <c r="A216" s="82" t="s">
        <v>225</v>
      </c>
      <c r="B216" s="83">
        <v>45665.291666666664</v>
      </c>
      <c r="C216" s="82">
        <v>373</v>
      </c>
      <c r="D216" s="82">
        <v>4</v>
      </c>
      <c r="E216" s="82" t="s">
        <v>195</v>
      </c>
    </row>
    <row r="217" spans="1:5" ht="42" x14ac:dyDescent="0.2">
      <c r="A217" s="82" t="s">
        <v>226</v>
      </c>
      <c r="B217" s="83">
        <v>45665.291666666664</v>
      </c>
      <c r="C217" s="82" t="s">
        <v>250</v>
      </c>
      <c r="D217" s="85"/>
      <c r="E217" s="82" t="s">
        <v>227</v>
      </c>
    </row>
    <row r="218" spans="1:5" ht="56" x14ac:dyDescent="0.2">
      <c r="A218" s="82" t="s">
        <v>228</v>
      </c>
      <c r="B218" s="83">
        <v>45665.291666666664</v>
      </c>
      <c r="C218" s="82" t="s">
        <v>273</v>
      </c>
      <c r="D218" s="85"/>
      <c r="E218" s="82" t="s">
        <v>227</v>
      </c>
    </row>
    <row r="219" spans="1:5" x14ac:dyDescent="0.2">
      <c r="A219" s="82" t="s">
        <v>181</v>
      </c>
      <c r="B219" s="83">
        <v>45669.291666666664</v>
      </c>
      <c r="C219" s="82" t="s">
        <v>337</v>
      </c>
      <c r="D219" s="82" t="s">
        <v>183</v>
      </c>
      <c r="E219" s="82" t="s">
        <v>184</v>
      </c>
    </row>
    <row r="220" spans="1:5" ht="28" x14ac:dyDescent="0.2">
      <c r="A220" s="82" t="s">
        <v>185</v>
      </c>
      <c r="B220" s="83">
        <v>45669.291666666664</v>
      </c>
      <c r="C220" s="82" t="s">
        <v>338</v>
      </c>
      <c r="D220" s="82" t="s">
        <v>186</v>
      </c>
      <c r="E220" s="82" t="s">
        <v>187</v>
      </c>
    </row>
    <row r="221" spans="1:5" ht="28" x14ac:dyDescent="0.2">
      <c r="A221" s="82" t="s">
        <v>188</v>
      </c>
      <c r="B221" s="83">
        <v>45669.291666666664</v>
      </c>
      <c r="C221" s="82" t="s">
        <v>339</v>
      </c>
      <c r="D221" s="82" t="s">
        <v>190</v>
      </c>
      <c r="E221" s="82" t="s">
        <v>184</v>
      </c>
    </row>
    <row r="222" spans="1:5" x14ac:dyDescent="0.2">
      <c r="A222" s="82" t="s">
        <v>193</v>
      </c>
      <c r="B222" s="83">
        <v>45669.291666666664</v>
      </c>
      <c r="C222" s="82">
        <v>152</v>
      </c>
      <c r="D222" s="82" t="s">
        <v>194</v>
      </c>
      <c r="E222" s="82" t="s">
        <v>195</v>
      </c>
    </row>
    <row r="223" spans="1:5" ht="28" x14ac:dyDescent="0.2">
      <c r="A223" s="82" t="s">
        <v>196</v>
      </c>
      <c r="B223" s="83">
        <v>45669.291666666664</v>
      </c>
      <c r="C223" s="84">
        <v>0.41944444444444445</v>
      </c>
      <c r="D223" s="85"/>
      <c r="E223" s="82" t="s">
        <v>197</v>
      </c>
    </row>
    <row r="224" spans="1:5" ht="28" x14ac:dyDescent="0.2">
      <c r="A224" s="82" t="s">
        <v>198</v>
      </c>
      <c r="B224" s="83">
        <v>45669.291666666664</v>
      </c>
      <c r="C224" s="82">
        <v>189</v>
      </c>
      <c r="D224" s="82">
        <v>2</v>
      </c>
      <c r="E224" s="82" t="s">
        <v>199</v>
      </c>
    </row>
    <row r="225" spans="1:5" x14ac:dyDescent="0.2">
      <c r="A225" s="82" t="s">
        <v>200</v>
      </c>
      <c r="B225" s="83">
        <v>45669.291666666664</v>
      </c>
      <c r="C225" s="82" t="s">
        <v>340</v>
      </c>
      <c r="D225" s="82" t="s">
        <v>201</v>
      </c>
      <c r="E225" s="82" t="s">
        <v>184</v>
      </c>
    </row>
    <row r="226" spans="1:5" x14ac:dyDescent="0.2">
      <c r="A226" s="82" t="s">
        <v>202</v>
      </c>
      <c r="B226" s="83">
        <v>45669.291666666664</v>
      </c>
      <c r="C226" s="82" t="s">
        <v>341</v>
      </c>
      <c r="D226" s="82" t="s">
        <v>204</v>
      </c>
      <c r="E226" s="82" t="s">
        <v>184</v>
      </c>
    </row>
    <row r="227" spans="1:5" ht="28" x14ac:dyDescent="0.2">
      <c r="A227" s="82" t="s">
        <v>205</v>
      </c>
      <c r="B227" s="83">
        <v>45669.291666666664</v>
      </c>
      <c r="C227" s="82" t="s">
        <v>342</v>
      </c>
      <c r="D227" s="82" t="s">
        <v>207</v>
      </c>
      <c r="E227" s="82" t="s">
        <v>208</v>
      </c>
    </row>
    <row r="228" spans="1:5" x14ac:dyDescent="0.2">
      <c r="A228" s="82" t="s">
        <v>209</v>
      </c>
      <c r="B228" s="83">
        <v>45669.291666666664</v>
      </c>
      <c r="C228" s="82" t="s">
        <v>343</v>
      </c>
      <c r="D228" s="82" t="s">
        <v>211</v>
      </c>
      <c r="E228" s="82" t="s">
        <v>184</v>
      </c>
    </row>
    <row r="229" spans="1:5" ht="28" x14ac:dyDescent="0.2">
      <c r="A229" s="82" t="s">
        <v>212</v>
      </c>
      <c r="B229" s="83">
        <v>45669.291666666664</v>
      </c>
      <c r="C229" s="82" t="s">
        <v>344</v>
      </c>
      <c r="D229" s="82" t="s">
        <v>214</v>
      </c>
      <c r="E229" s="82" t="s">
        <v>215</v>
      </c>
    </row>
    <row r="230" spans="1:5" ht="28" x14ac:dyDescent="0.2">
      <c r="A230" s="82" t="s">
        <v>216</v>
      </c>
      <c r="B230" s="83">
        <v>45669.291666666664</v>
      </c>
      <c r="C230" s="82" t="s">
        <v>247</v>
      </c>
      <c r="D230" s="82" t="s">
        <v>218</v>
      </c>
      <c r="E230" s="82" t="s">
        <v>219</v>
      </c>
    </row>
    <row r="231" spans="1:5" x14ac:dyDescent="0.2">
      <c r="A231" s="82" t="s">
        <v>220</v>
      </c>
      <c r="B231" s="83">
        <v>45669.291666666664</v>
      </c>
      <c r="C231" s="82" t="s">
        <v>345</v>
      </c>
      <c r="D231" s="85"/>
      <c r="E231" s="82" t="s">
        <v>222</v>
      </c>
    </row>
    <row r="232" spans="1:5" ht="28" x14ac:dyDescent="0.2">
      <c r="A232" s="82" t="s">
        <v>223</v>
      </c>
      <c r="B232" s="83">
        <v>45669.291666666664</v>
      </c>
      <c r="C232" s="82" t="s">
        <v>346</v>
      </c>
      <c r="D232" s="82" t="s">
        <v>183</v>
      </c>
      <c r="E232" s="82" t="s">
        <v>219</v>
      </c>
    </row>
    <row r="233" spans="1:5" x14ac:dyDescent="0.2">
      <c r="A233" s="82" t="s">
        <v>225</v>
      </c>
      <c r="B233" s="83">
        <v>45669.291666666664</v>
      </c>
      <c r="C233" s="82">
        <v>349</v>
      </c>
      <c r="D233" s="82">
        <v>4</v>
      </c>
      <c r="E233" s="82" t="s">
        <v>195</v>
      </c>
    </row>
    <row r="234" spans="1:5" ht="42" x14ac:dyDescent="0.2">
      <c r="A234" s="82" t="s">
        <v>226</v>
      </c>
      <c r="B234" s="83">
        <v>45669.291666666664</v>
      </c>
      <c r="C234" s="82" t="s">
        <v>287</v>
      </c>
      <c r="D234" s="85"/>
      <c r="E234" s="82" t="s">
        <v>227</v>
      </c>
    </row>
    <row r="235" spans="1:5" ht="56" x14ac:dyDescent="0.2">
      <c r="A235" s="82" t="s">
        <v>228</v>
      </c>
      <c r="B235" s="83">
        <v>45669.291666666664</v>
      </c>
      <c r="C235" s="82" t="s">
        <v>347</v>
      </c>
      <c r="D235" s="85"/>
      <c r="E235" s="82" t="s">
        <v>227</v>
      </c>
    </row>
    <row r="236" spans="1:5" ht="28" x14ac:dyDescent="0.2">
      <c r="A236" s="82" t="s">
        <v>348</v>
      </c>
      <c r="B236" s="83">
        <v>45672.291666666664</v>
      </c>
      <c r="C236" s="82" t="s">
        <v>349</v>
      </c>
      <c r="D236" s="82" t="s">
        <v>350</v>
      </c>
      <c r="E236" s="82" t="s">
        <v>351</v>
      </c>
    </row>
    <row r="237" spans="1:5" ht="28" x14ac:dyDescent="0.2">
      <c r="A237" s="82" t="s">
        <v>352</v>
      </c>
      <c r="B237" s="83">
        <v>45672.291666666664</v>
      </c>
      <c r="C237" s="82">
        <v>385</v>
      </c>
      <c r="D237" s="82">
        <v>50</v>
      </c>
      <c r="E237" s="82" t="s">
        <v>353</v>
      </c>
    </row>
    <row r="238" spans="1:5" x14ac:dyDescent="0.2">
      <c r="A238" s="82" t="s">
        <v>354</v>
      </c>
      <c r="B238" s="83">
        <v>45672.291666666664</v>
      </c>
      <c r="C238" s="82">
        <v>474</v>
      </c>
      <c r="D238" s="82">
        <v>20</v>
      </c>
      <c r="E238" s="82" t="s">
        <v>351</v>
      </c>
    </row>
    <row r="239" spans="1:5" x14ac:dyDescent="0.2">
      <c r="A239" s="82" t="s">
        <v>354</v>
      </c>
      <c r="B239" s="83">
        <v>45672.291666666664</v>
      </c>
      <c r="C239" s="82">
        <v>1</v>
      </c>
      <c r="D239" s="85"/>
      <c r="E239" s="82" t="s">
        <v>197</v>
      </c>
    </row>
    <row r="240" spans="1:5" x14ac:dyDescent="0.2">
      <c r="A240" s="82" t="s">
        <v>181</v>
      </c>
      <c r="B240" s="83">
        <v>45672.291666666664</v>
      </c>
      <c r="C240" s="82">
        <v>32</v>
      </c>
      <c r="D240" s="82" t="s">
        <v>183</v>
      </c>
      <c r="E240" s="82" t="s">
        <v>184</v>
      </c>
    </row>
    <row r="241" spans="1:5" ht="28" x14ac:dyDescent="0.2">
      <c r="A241" s="82" t="s">
        <v>185</v>
      </c>
      <c r="B241" s="83">
        <v>45672.291666666664</v>
      </c>
      <c r="C241" s="82" t="s">
        <v>355</v>
      </c>
      <c r="D241" s="82" t="s">
        <v>186</v>
      </c>
      <c r="E241" s="82" t="s">
        <v>187</v>
      </c>
    </row>
    <row r="242" spans="1:5" x14ac:dyDescent="0.2">
      <c r="A242" s="82" t="s">
        <v>356</v>
      </c>
      <c r="B242" s="83">
        <v>45672.291666666664</v>
      </c>
      <c r="C242" s="82" t="s">
        <v>349</v>
      </c>
      <c r="D242" s="82" t="s">
        <v>350</v>
      </c>
      <c r="E242" s="82" t="s">
        <v>351</v>
      </c>
    </row>
    <row r="243" spans="1:5" x14ac:dyDescent="0.2">
      <c r="A243" s="82" t="s">
        <v>357</v>
      </c>
      <c r="B243" s="83">
        <v>45672.291666666664</v>
      </c>
      <c r="C243" s="82">
        <v>151</v>
      </c>
      <c r="D243" s="82">
        <v>10</v>
      </c>
      <c r="E243" s="82" t="s">
        <v>358</v>
      </c>
    </row>
    <row r="244" spans="1:5" x14ac:dyDescent="0.2">
      <c r="A244" s="82" t="s">
        <v>359</v>
      </c>
      <c r="B244" s="83">
        <v>45672.291666666664</v>
      </c>
      <c r="C244" s="82" t="s">
        <v>360</v>
      </c>
      <c r="D244" s="82" t="s">
        <v>233</v>
      </c>
      <c r="E244" s="82" t="s">
        <v>199</v>
      </c>
    </row>
    <row r="245" spans="1:5" x14ac:dyDescent="0.2">
      <c r="A245" s="82" t="s">
        <v>361</v>
      </c>
      <c r="B245" s="83">
        <v>45672.291666666664</v>
      </c>
      <c r="C245" s="82" t="s">
        <v>362</v>
      </c>
      <c r="D245" s="82" t="s">
        <v>363</v>
      </c>
      <c r="E245" s="82" t="s">
        <v>351</v>
      </c>
    </row>
    <row r="246" spans="1:5" x14ac:dyDescent="0.2">
      <c r="A246" s="82" t="s">
        <v>361</v>
      </c>
      <c r="B246" s="83">
        <v>45672.291666666664</v>
      </c>
      <c r="C246" s="82">
        <v>1</v>
      </c>
      <c r="D246" s="85"/>
      <c r="E246" s="82" t="s">
        <v>197</v>
      </c>
    </row>
    <row r="247" spans="1:5" ht="28" x14ac:dyDescent="0.2">
      <c r="A247" s="82" t="s">
        <v>188</v>
      </c>
      <c r="B247" s="83">
        <v>45672.291666666664</v>
      </c>
      <c r="C247" s="82" t="s">
        <v>364</v>
      </c>
      <c r="D247" s="82" t="s">
        <v>190</v>
      </c>
      <c r="E247" s="82" t="s">
        <v>184</v>
      </c>
    </row>
    <row r="248" spans="1:5" ht="28" x14ac:dyDescent="0.2">
      <c r="A248" s="82" t="s">
        <v>365</v>
      </c>
      <c r="B248" s="83">
        <v>45672.291666666664</v>
      </c>
      <c r="C248" s="82" t="s">
        <v>349</v>
      </c>
      <c r="D248" s="82" t="s">
        <v>350</v>
      </c>
      <c r="E248" s="82" t="s">
        <v>351</v>
      </c>
    </row>
    <row r="249" spans="1:5" ht="28" x14ac:dyDescent="0.2">
      <c r="A249" s="82" t="s">
        <v>366</v>
      </c>
      <c r="B249" s="83">
        <v>45672.291666666664</v>
      </c>
      <c r="C249" s="82" t="s">
        <v>367</v>
      </c>
      <c r="D249" s="82" t="s">
        <v>350</v>
      </c>
      <c r="E249" s="82" t="s">
        <v>351</v>
      </c>
    </row>
    <row r="250" spans="1:5" ht="28" x14ac:dyDescent="0.2">
      <c r="A250" s="82" t="s">
        <v>368</v>
      </c>
      <c r="B250" s="83">
        <v>45672.291666666664</v>
      </c>
      <c r="C250" s="82" t="s">
        <v>349</v>
      </c>
      <c r="D250" s="82" t="s">
        <v>350</v>
      </c>
      <c r="E250" s="82" t="s">
        <v>351</v>
      </c>
    </row>
    <row r="251" spans="1:5" ht="28" x14ac:dyDescent="0.2">
      <c r="A251" s="82" t="s">
        <v>369</v>
      </c>
      <c r="B251" s="83">
        <v>45672.291666666664</v>
      </c>
      <c r="C251" s="82" t="s">
        <v>349</v>
      </c>
      <c r="D251" s="82" t="s">
        <v>350</v>
      </c>
      <c r="E251" s="82" t="s">
        <v>351</v>
      </c>
    </row>
    <row r="252" spans="1:5" ht="28" x14ac:dyDescent="0.2">
      <c r="A252" s="82" t="s">
        <v>370</v>
      </c>
      <c r="B252" s="83">
        <v>45672.291666666664</v>
      </c>
      <c r="C252" s="82" t="s">
        <v>349</v>
      </c>
      <c r="D252" s="82" t="s">
        <v>350</v>
      </c>
      <c r="E252" s="82" t="s">
        <v>351</v>
      </c>
    </row>
    <row r="253" spans="1:5" x14ac:dyDescent="0.2">
      <c r="A253" s="82" t="s">
        <v>371</v>
      </c>
      <c r="B253" s="83">
        <v>45672.291666666664</v>
      </c>
      <c r="C253" s="82" t="s">
        <v>372</v>
      </c>
      <c r="D253" s="82" t="s">
        <v>218</v>
      </c>
      <c r="E253" s="82" t="s">
        <v>351</v>
      </c>
    </row>
    <row r="254" spans="1:5" x14ac:dyDescent="0.2">
      <c r="A254" s="82" t="s">
        <v>371</v>
      </c>
      <c r="B254" s="83">
        <v>45672.291666666664</v>
      </c>
      <c r="C254" s="82">
        <v>1</v>
      </c>
      <c r="D254" s="85"/>
      <c r="E254" s="82" t="s">
        <v>197</v>
      </c>
    </row>
    <row r="255" spans="1:5" x14ac:dyDescent="0.2">
      <c r="A255" s="82" t="s">
        <v>373</v>
      </c>
      <c r="B255" s="83">
        <v>45672.291666666664</v>
      </c>
      <c r="C255" s="82">
        <v>81</v>
      </c>
      <c r="D255" s="82" t="s">
        <v>374</v>
      </c>
      <c r="E255" s="82" t="s">
        <v>375</v>
      </c>
    </row>
    <row r="256" spans="1:5" x14ac:dyDescent="0.2">
      <c r="A256" s="82" t="s">
        <v>376</v>
      </c>
      <c r="B256" s="83">
        <v>45672.291666666664</v>
      </c>
      <c r="C256" s="82" t="s">
        <v>377</v>
      </c>
      <c r="D256" s="82">
        <v>5</v>
      </c>
      <c r="E256" s="82" t="s">
        <v>351</v>
      </c>
    </row>
    <row r="257" spans="1:5" x14ac:dyDescent="0.2">
      <c r="A257" s="82" t="s">
        <v>376</v>
      </c>
      <c r="B257" s="83">
        <v>45672.291666666664</v>
      </c>
      <c r="C257" s="82">
        <v>1</v>
      </c>
      <c r="D257" s="85"/>
      <c r="E257" s="82" t="s">
        <v>197</v>
      </c>
    </row>
    <row r="258" spans="1:5" x14ac:dyDescent="0.2">
      <c r="A258" s="82" t="s">
        <v>378</v>
      </c>
      <c r="B258" s="83">
        <v>45672.291666666664</v>
      </c>
      <c r="C258" s="82" t="s">
        <v>349</v>
      </c>
      <c r="D258" s="82" t="s">
        <v>350</v>
      </c>
      <c r="E258" s="82" t="s">
        <v>351</v>
      </c>
    </row>
    <row r="259" spans="1:5" x14ac:dyDescent="0.2">
      <c r="A259" s="82" t="s">
        <v>379</v>
      </c>
      <c r="B259" s="83">
        <v>45672.291666666664</v>
      </c>
      <c r="C259" s="82" t="s">
        <v>380</v>
      </c>
      <c r="D259" s="82" t="s">
        <v>194</v>
      </c>
      <c r="E259" s="82" t="s">
        <v>351</v>
      </c>
    </row>
    <row r="260" spans="1:5" x14ac:dyDescent="0.2">
      <c r="A260" s="82" t="s">
        <v>379</v>
      </c>
      <c r="B260" s="83">
        <v>45672.291666666664</v>
      </c>
      <c r="C260" s="82">
        <v>1</v>
      </c>
      <c r="D260" s="85"/>
      <c r="E260" s="82" t="s">
        <v>197</v>
      </c>
    </row>
    <row r="261" spans="1:5" ht="28" x14ac:dyDescent="0.2">
      <c r="A261" s="82" t="s">
        <v>191</v>
      </c>
      <c r="B261" s="83">
        <v>45672.291666666664</v>
      </c>
      <c r="C261" s="82">
        <v>99</v>
      </c>
      <c r="D261" s="82">
        <v>6</v>
      </c>
      <c r="E261" s="82" t="s">
        <v>192</v>
      </c>
    </row>
    <row r="262" spans="1:5" x14ac:dyDescent="0.2">
      <c r="A262" s="82" t="s">
        <v>381</v>
      </c>
      <c r="B262" s="83">
        <v>45672.291666666664</v>
      </c>
      <c r="C262" s="82" t="s">
        <v>382</v>
      </c>
      <c r="D262" s="82">
        <v>5</v>
      </c>
      <c r="E262" s="82" t="s">
        <v>351</v>
      </c>
    </row>
    <row r="263" spans="1:5" x14ac:dyDescent="0.2">
      <c r="A263" s="82" t="s">
        <v>381</v>
      </c>
      <c r="B263" s="83">
        <v>45672.291666666664</v>
      </c>
      <c r="C263" s="82">
        <v>1</v>
      </c>
      <c r="D263" s="85"/>
      <c r="E263" s="82" t="s">
        <v>197</v>
      </c>
    </row>
    <row r="264" spans="1:5" x14ac:dyDescent="0.2">
      <c r="A264" s="82" t="s">
        <v>193</v>
      </c>
      <c r="B264" s="83">
        <v>45672.291666666664</v>
      </c>
      <c r="C264" s="82">
        <v>207</v>
      </c>
      <c r="D264" s="82" t="s">
        <v>194</v>
      </c>
      <c r="E264" s="82" t="s">
        <v>195</v>
      </c>
    </row>
    <row r="265" spans="1:5" ht="28" x14ac:dyDescent="0.2">
      <c r="A265" s="82" t="s">
        <v>383</v>
      </c>
      <c r="B265" s="83">
        <v>45672.291666666664</v>
      </c>
      <c r="C265" s="82" t="s">
        <v>349</v>
      </c>
      <c r="D265" s="82" t="s">
        <v>350</v>
      </c>
      <c r="E265" s="82" t="s">
        <v>351</v>
      </c>
    </row>
    <row r="266" spans="1:5" x14ac:dyDescent="0.2">
      <c r="A266" s="82" t="s">
        <v>384</v>
      </c>
      <c r="B266" s="83">
        <v>45672.291666666664</v>
      </c>
      <c r="C266" s="82" t="s">
        <v>377</v>
      </c>
      <c r="D266" s="82">
        <v>5</v>
      </c>
      <c r="E266" s="82" t="s">
        <v>351</v>
      </c>
    </row>
    <row r="267" spans="1:5" x14ac:dyDescent="0.2">
      <c r="A267" s="82" t="s">
        <v>384</v>
      </c>
      <c r="B267" s="83">
        <v>45672.291666666664</v>
      </c>
      <c r="C267" s="82">
        <v>1</v>
      </c>
      <c r="D267" s="85"/>
      <c r="E267" s="82" t="s">
        <v>197</v>
      </c>
    </row>
    <row r="268" spans="1:5" x14ac:dyDescent="0.2">
      <c r="A268" s="82" t="s">
        <v>385</v>
      </c>
      <c r="B268" s="83">
        <v>45672.291666666664</v>
      </c>
      <c r="C268" s="82" t="s">
        <v>341</v>
      </c>
      <c r="D268" s="82" t="s">
        <v>386</v>
      </c>
      <c r="E268" s="82" t="s">
        <v>199</v>
      </c>
    </row>
    <row r="269" spans="1:5" ht="28" x14ac:dyDescent="0.2">
      <c r="A269" s="82" t="s">
        <v>387</v>
      </c>
      <c r="B269" s="83">
        <v>45672.291666666664</v>
      </c>
      <c r="C269" s="82" t="s">
        <v>388</v>
      </c>
      <c r="D269" s="82" t="s">
        <v>350</v>
      </c>
      <c r="E269" s="82" t="s">
        <v>351</v>
      </c>
    </row>
    <row r="270" spans="1:5" x14ac:dyDescent="0.2">
      <c r="A270" s="82" t="s">
        <v>389</v>
      </c>
      <c r="B270" s="83">
        <v>45672.291666666664</v>
      </c>
      <c r="C270" s="82" t="s">
        <v>390</v>
      </c>
      <c r="D270" s="82" t="s">
        <v>350</v>
      </c>
      <c r="E270" s="82" t="s">
        <v>351</v>
      </c>
    </row>
    <row r="271" spans="1:5" ht="28" x14ac:dyDescent="0.2">
      <c r="A271" s="82" t="s">
        <v>196</v>
      </c>
      <c r="B271" s="83">
        <v>45672.291666666664</v>
      </c>
      <c r="C271" s="84">
        <v>0.375</v>
      </c>
      <c r="D271" s="85"/>
      <c r="E271" s="82" t="s">
        <v>197</v>
      </c>
    </row>
    <row r="272" spans="1:5" ht="28" x14ac:dyDescent="0.2">
      <c r="A272" s="82" t="s">
        <v>391</v>
      </c>
      <c r="B272" s="83">
        <v>45672.291666666664</v>
      </c>
      <c r="C272" s="82" t="s">
        <v>349</v>
      </c>
      <c r="D272" s="82" t="s">
        <v>350</v>
      </c>
      <c r="E272" s="82" t="s">
        <v>351</v>
      </c>
    </row>
    <row r="273" spans="1:5" ht="42" x14ac:dyDescent="0.2">
      <c r="A273" s="82" t="s">
        <v>392</v>
      </c>
      <c r="B273" s="83">
        <v>45672.291666666664</v>
      </c>
      <c r="C273" s="82" t="s">
        <v>243</v>
      </c>
      <c r="D273" s="82" t="s">
        <v>393</v>
      </c>
      <c r="E273" s="82" t="s">
        <v>199</v>
      </c>
    </row>
    <row r="274" spans="1:5" x14ac:dyDescent="0.2">
      <c r="A274" s="82" t="s">
        <v>394</v>
      </c>
      <c r="B274" s="83">
        <v>45672.291666666664</v>
      </c>
      <c r="C274" s="82" t="s">
        <v>233</v>
      </c>
      <c r="D274" s="82" t="s">
        <v>395</v>
      </c>
      <c r="E274" s="82" t="s">
        <v>199</v>
      </c>
    </row>
    <row r="275" spans="1:5" ht="28" x14ac:dyDescent="0.2">
      <c r="A275" s="82" t="s">
        <v>198</v>
      </c>
      <c r="B275" s="83">
        <v>45672.291666666664</v>
      </c>
      <c r="C275" s="82">
        <v>224</v>
      </c>
      <c r="D275" s="82">
        <v>2</v>
      </c>
      <c r="E275" s="82" t="s">
        <v>199</v>
      </c>
    </row>
    <row r="276" spans="1:5" x14ac:dyDescent="0.2">
      <c r="A276" s="82" t="s">
        <v>396</v>
      </c>
      <c r="B276" s="83">
        <v>45672.291666666664</v>
      </c>
      <c r="C276" s="82">
        <v>1</v>
      </c>
      <c r="D276" s="85"/>
      <c r="E276" s="82" t="s">
        <v>197</v>
      </c>
    </row>
    <row r="277" spans="1:5" x14ac:dyDescent="0.2">
      <c r="A277" s="82" t="s">
        <v>396</v>
      </c>
      <c r="B277" s="83">
        <v>45672.291666666664</v>
      </c>
      <c r="C277" s="82" t="s">
        <v>397</v>
      </c>
      <c r="D277" s="82" t="s">
        <v>372</v>
      </c>
      <c r="E277" s="82" t="s">
        <v>351</v>
      </c>
    </row>
    <row r="278" spans="1:5" x14ac:dyDescent="0.2">
      <c r="A278" s="82" t="s">
        <v>398</v>
      </c>
      <c r="B278" s="83">
        <v>45672.291666666664</v>
      </c>
      <c r="C278" s="82" t="s">
        <v>270</v>
      </c>
      <c r="D278" s="82" t="s">
        <v>399</v>
      </c>
      <c r="E278" s="82" t="s">
        <v>351</v>
      </c>
    </row>
    <row r="279" spans="1:5" x14ac:dyDescent="0.2">
      <c r="A279" s="82" t="s">
        <v>200</v>
      </c>
      <c r="B279" s="83">
        <v>45672.291666666664</v>
      </c>
      <c r="C279" s="82">
        <v>46</v>
      </c>
      <c r="D279" s="82" t="s">
        <v>201</v>
      </c>
      <c r="E279" s="82" t="s">
        <v>184</v>
      </c>
    </row>
    <row r="280" spans="1:5" x14ac:dyDescent="0.2">
      <c r="A280" s="82" t="s">
        <v>400</v>
      </c>
      <c r="B280" s="83">
        <v>45672.291666666664</v>
      </c>
      <c r="C280" s="82" t="s">
        <v>377</v>
      </c>
      <c r="D280" s="82">
        <v>5</v>
      </c>
      <c r="E280" s="82" t="s">
        <v>351</v>
      </c>
    </row>
    <row r="281" spans="1:5" x14ac:dyDescent="0.2">
      <c r="A281" s="82" t="s">
        <v>400</v>
      </c>
      <c r="B281" s="83">
        <v>45672.291666666664</v>
      </c>
      <c r="C281" s="82">
        <v>1</v>
      </c>
      <c r="D281" s="85"/>
      <c r="E281" s="82" t="s">
        <v>197</v>
      </c>
    </row>
    <row r="282" spans="1:5" x14ac:dyDescent="0.2">
      <c r="A282" s="82" t="s">
        <v>202</v>
      </c>
      <c r="B282" s="83">
        <v>45672.291666666664</v>
      </c>
      <c r="C282" s="82" t="s">
        <v>203</v>
      </c>
      <c r="D282" s="82" t="s">
        <v>204</v>
      </c>
      <c r="E282" s="82" t="s">
        <v>184</v>
      </c>
    </row>
    <row r="283" spans="1:5" ht="28" x14ac:dyDescent="0.2">
      <c r="A283" s="82" t="s">
        <v>205</v>
      </c>
      <c r="B283" s="83">
        <v>45672.291666666664</v>
      </c>
      <c r="C283" s="82" t="s">
        <v>206</v>
      </c>
      <c r="D283" s="82" t="s">
        <v>207</v>
      </c>
      <c r="E283" s="82" t="s">
        <v>208</v>
      </c>
    </row>
    <row r="284" spans="1:5" x14ac:dyDescent="0.2">
      <c r="A284" s="82" t="s">
        <v>209</v>
      </c>
      <c r="B284" s="83">
        <v>45672.291666666664</v>
      </c>
      <c r="C284" s="82" t="s">
        <v>290</v>
      </c>
      <c r="D284" s="82" t="s">
        <v>211</v>
      </c>
      <c r="E284" s="82" t="s">
        <v>184</v>
      </c>
    </row>
    <row r="285" spans="1:5" ht="28" x14ac:dyDescent="0.2">
      <c r="A285" s="82" t="s">
        <v>212</v>
      </c>
      <c r="B285" s="83">
        <v>45672.291666666664</v>
      </c>
      <c r="C285" s="82" t="s">
        <v>292</v>
      </c>
      <c r="D285" s="82" t="s">
        <v>214</v>
      </c>
      <c r="E285" s="82" t="s">
        <v>215</v>
      </c>
    </row>
    <row r="286" spans="1:5" ht="28" x14ac:dyDescent="0.2">
      <c r="A286" s="82" t="s">
        <v>216</v>
      </c>
      <c r="B286" s="83">
        <v>45672.291666666664</v>
      </c>
      <c r="C286" s="82" t="s">
        <v>322</v>
      </c>
      <c r="D286" s="82" t="s">
        <v>218</v>
      </c>
      <c r="E286" s="82" t="s">
        <v>219</v>
      </c>
    </row>
    <row r="287" spans="1:5" x14ac:dyDescent="0.2">
      <c r="A287" s="82" t="s">
        <v>401</v>
      </c>
      <c r="B287" s="83">
        <v>45672.291666666664</v>
      </c>
      <c r="C287" s="82" t="s">
        <v>402</v>
      </c>
      <c r="D287" s="82" t="s">
        <v>403</v>
      </c>
      <c r="E287" s="82" t="s">
        <v>351</v>
      </c>
    </row>
    <row r="288" spans="1:5" x14ac:dyDescent="0.2">
      <c r="A288" s="82" t="s">
        <v>404</v>
      </c>
      <c r="B288" s="83">
        <v>45672.291666666664</v>
      </c>
      <c r="C288" s="82" t="s">
        <v>402</v>
      </c>
      <c r="D288" s="82" t="s">
        <v>403</v>
      </c>
      <c r="E288" s="82" t="s">
        <v>351</v>
      </c>
    </row>
    <row r="289" spans="1:5" x14ac:dyDescent="0.2">
      <c r="A289" s="82" t="s">
        <v>405</v>
      </c>
      <c r="B289" s="83">
        <v>45672.291666666664</v>
      </c>
      <c r="C289" s="82" t="s">
        <v>402</v>
      </c>
      <c r="D289" s="82" t="s">
        <v>403</v>
      </c>
      <c r="E289" s="82" t="s">
        <v>351</v>
      </c>
    </row>
    <row r="290" spans="1:5" x14ac:dyDescent="0.2">
      <c r="A290" s="82" t="s">
        <v>406</v>
      </c>
      <c r="B290" s="83">
        <v>45672.291666666664</v>
      </c>
      <c r="C290" s="82" t="s">
        <v>402</v>
      </c>
      <c r="D290" s="82" t="s">
        <v>403</v>
      </c>
      <c r="E290" s="82" t="s">
        <v>351</v>
      </c>
    </row>
    <row r="291" spans="1:5" x14ac:dyDescent="0.2">
      <c r="A291" s="82" t="s">
        <v>407</v>
      </c>
      <c r="B291" s="83">
        <v>45672.291666666664</v>
      </c>
      <c r="C291" s="82" t="s">
        <v>402</v>
      </c>
      <c r="D291" s="82" t="s">
        <v>403</v>
      </c>
      <c r="E291" s="82" t="s">
        <v>351</v>
      </c>
    </row>
    <row r="292" spans="1:5" x14ac:dyDescent="0.2">
      <c r="A292" s="82" t="s">
        <v>408</v>
      </c>
      <c r="B292" s="83">
        <v>45672.291666666664</v>
      </c>
      <c r="C292" s="82" t="s">
        <v>402</v>
      </c>
      <c r="D292" s="82" t="s">
        <v>403</v>
      </c>
      <c r="E292" s="82" t="s">
        <v>351</v>
      </c>
    </row>
    <row r="293" spans="1:5" x14ac:dyDescent="0.2">
      <c r="A293" s="82" t="s">
        <v>409</v>
      </c>
      <c r="B293" s="83">
        <v>45672.291666666664</v>
      </c>
      <c r="C293" s="82" t="s">
        <v>402</v>
      </c>
      <c r="D293" s="82" t="s">
        <v>403</v>
      </c>
      <c r="E293" s="82" t="s">
        <v>351</v>
      </c>
    </row>
    <row r="294" spans="1:5" x14ac:dyDescent="0.2">
      <c r="A294" s="82" t="s">
        <v>220</v>
      </c>
      <c r="B294" s="83">
        <v>45672.291666666664</v>
      </c>
      <c r="C294" s="82" t="s">
        <v>335</v>
      </c>
      <c r="D294" s="85"/>
      <c r="E294" s="82" t="s">
        <v>222</v>
      </c>
    </row>
    <row r="295" spans="1:5" ht="28" x14ac:dyDescent="0.2">
      <c r="A295" s="82" t="s">
        <v>410</v>
      </c>
      <c r="B295" s="83">
        <v>45672.291666666664</v>
      </c>
      <c r="C295" s="82" t="s">
        <v>411</v>
      </c>
      <c r="D295" s="82" t="s">
        <v>350</v>
      </c>
      <c r="E295" s="82" t="s">
        <v>351</v>
      </c>
    </row>
    <row r="296" spans="1:5" ht="28" x14ac:dyDescent="0.2">
      <c r="A296" s="82" t="s">
        <v>223</v>
      </c>
      <c r="B296" s="83">
        <v>45672.291666666664</v>
      </c>
      <c r="C296" s="82">
        <v>5</v>
      </c>
      <c r="D296" s="82" t="s">
        <v>183</v>
      </c>
      <c r="E296" s="82" t="s">
        <v>219</v>
      </c>
    </row>
    <row r="297" spans="1:5" x14ac:dyDescent="0.2">
      <c r="A297" s="82" t="s">
        <v>412</v>
      </c>
      <c r="B297" s="83">
        <v>45672.291666666664</v>
      </c>
      <c r="C297" s="82" t="s">
        <v>413</v>
      </c>
      <c r="D297" s="82">
        <v>2</v>
      </c>
      <c r="E297" s="82" t="s">
        <v>351</v>
      </c>
    </row>
    <row r="298" spans="1:5" x14ac:dyDescent="0.2">
      <c r="A298" s="82" t="s">
        <v>412</v>
      </c>
      <c r="B298" s="83">
        <v>45672.291666666664</v>
      </c>
      <c r="C298" s="82">
        <v>1</v>
      </c>
      <c r="D298" s="85"/>
      <c r="E298" s="82" t="s">
        <v>197</v>
      </c>
    </row>
    <row r="299" spans="1:5" ht="28" x14ac:dyDescent="0.2">
      <c r="A299" s="82" t="s">
        <v>414</v>
      </c>
      <c r="B299" s="83">
        <v>45672.291666666664</v>
      </c>
      <c r="C299" s="82" t="s">
        <v>318</v>
      </c>
      <c r="D299" s="85"/>
      <c r="E299" s="82" t="s">
        <v>197</v>
      </c>
    </row>
    <row r="300" spans="1:5" ht="42" x14ac:dyDescent="0.2">
      <c r="A300" s="82" t="s">
        <v>415</v>
      </c>
      <c r="B300" s="83">
        <v>45672.291666666664</v>
      </c>
      <c r="C300" s="82" t="s">
        <v>197</v>
      </c>
      <c r="D300" s="85"/>
      <c r="E300" s="82" t="s">
        <v>197</v>
      </c>
    </row>
    <row r="301" spans="1:5" x14ac:dyDescent="0.2">
      <c r="A301" s="82" t="s">
        <v>416</v>
      </c>
      <c r="B301" s="83">
        <v>45672.291666666664</v>
      </c>
      <c r="C301" s="82" t="s">
        <v>417</v>
      </c>
      <c r="D301" s="82" t="s">
        <v>350</v>
      </c>
      <c r="E301" s="82" t="s">
        <v>351</v>
      </c>
    </row>
    <row r="302" spans="1:5" ht="28" x14ac:dyDescent="0.2">
      <c r="A302" s="82" t="s">
        <v>418</v>
      </c>
      <c r="B302" s="83">
        <v>45672.291666666664</v>
      </c>
      <c r="C302" s="82" t="s">
        <v>419</v>
      </c>
      <c r="D302" s="82" t="s">
        <v>420</v>
      </c>
      <c r="E302" s="82" t="s">
        <v>351</v>
      </c>
    </row>
    <row r="303" spans="1:5" ht="28" x14ac:dyDescent="0.2">
      <c r="A303" s="82" t="s">
        <v>421</v>
      </c>
      <c r="B303" s="83">
        <v>45672.291666666664</v>
      </c>
      <c r="C303" s="82" t="s">
        <v>422</v>
      </c>
      <c r="D303" s="82" t="s">
        <v>423</v>
      </c>
      <c r="E303" s="82" t="s">
        <v>351</v>
      </c>
    </row>
    <row r="304" spans="1:5" x14ac:dyDescent="0.2">
      <c r="A304" s="82" t="s">
        <v>225</v>
      </c>
      <c r="B304" s="83">
        <v>45672.291666666664</v>
      </c>
      <c r="C304" s="82">
        <v>501</v>
      </c>
      <c r="D304" s="82">
        <v>4</v>
      </c>
      <c r="E304" s="82" t="s">
        <v>195</v>
      </c>
    </row>
    <row r="305" spans="1:5" x14ac:dyDescent="0.2">
      <c r="A305" s="82" t="s">
        <v>424</v>
      </c>
      <c r="B305" s="83">
        <v>45672.291666666664</v>
      </c>
      <c r="C305" s="82">
        <v>118</v>
      </c>
      <c r="D305" s="82">
        <v>10</v>
      </c>
      <c r="E305" s="82" t="s">
        <v>425</v>
      </c>
    </row>
    <row r="306" spans="1:5" ht="42" x14ac:dyDescent="0.2">
      <c r="A306" s="82" t="s">
        <v>226</v>
      </c>
      <c r="B306" s="83">
        <v>45672.291666666664</v>
      </c>
      <c r="C306" s="82" t="s">
        <v>426</v>
      </c>
      <c r="D306" s="85"/>
      <c r="E306" s="82" t="s">
        <v>227</v>
      </c>
    </row>
    <row r="307" spans="1:5" ht="56" x14ac:dyDescent="0.2">
      <c r="A307" s="82" t="s">
        <v>228</v>
      </c>
      <c r="B307" s="83">
        <v>45672.291666666664</v>
      </c>
      <c r="C307" s="82" t="s">
        <v>251</v>
      </c>
      <c r="D307" s="85"/>
      <c r="E307" s="82" t="s">
        <v>227</v>
      </c>
    </row>
    <row r="308" spans="1:5" x14ac:dyDescent="0.2">
      <c r="A308" s="82" t="s">
        <v>427</v>
      </c>
      <c r="B308" s="83">
        <v>45672.291666666664</v>
      </c>
      <c r="C308" s="82">
        <v>177</v>
      </c>
      <c r="D308" s="82" t="s">
        <v>428</v>
      </c>
      <c r="E308" s="82" t="s">
        <v>351</v>
      </c>
    </row>
    <row r="309" spans="1:5" x14ac:dyDescent="0.2">
      <c r="A309" s="82" t="s">
        <v>427</v>
      </c>
      <c r="B309" s="83">
        <v>45672.291666666664</v>
      </c>
      <c r="C309" s="82">
        <v>1</v>
      </c>
      <c r="D309" s="85"/>
      <c r="E309" s="82" t="s">
        <v>197</v>
      </c>
    </row>
    <row r="310" spans="1:5" x14ac:dyDescent="0.2">
      <c r="A310" s="82" t="s">
        <v>181</v>
      </c>
      <c r="B310" s="83">
        <v>45676.291666666664</v>
      </c>
      <c r="C310" s="82" t="s">
        <v>429</v>
      </c>
      <c r="D310" s="82" t="s">
        <v>183</v>
      </c>
      <c r="E310" s="82" t="s">
        <v>184</v>
      </c>
    </row>
    <row r="311" spans="1:5" ht="28" x14ac:dyDescent="0.2">
      <c r="A311" s="82" t="s">
        <v>185</v>
      </c>
      <c r="B311" s="83">
        <v>45676.291666666664</v>
      </c>
      <c r="C311" s="82" t="s">
        <v>430</v>
      </c>
      <c r="D311" s="82" t="s">
        <v>186</v>
      </c>
      <c r="E311" s="82" t="s">
        <v>187</v>
      </c>
    </row>
    <row r="312" spans="1:5" ht="28" x14ac:dyDescent="0.2">
      <c r="A312" s="82" t="s">
        <v>188</v>
      </c>
      <c r="B312" s="83">
        <v>45676.291666666664</v>
      </c>
      <c r="C312" s="82" t="s">
        <v>431</v>
      </c>
      <c r="D312" s="82" t="s">
        <v>190</v>
      </c>
      <c r="E312" s="82" t="s">
        <v>184</v>
      </c>
    </row>
    <row r="313" spans="1:5" x14ac:dyDescent="0.2">
      <c r="A313" s="82" t="s">
        <v>193</v>
      </c>
      <c r="B313" s="83">
        <v>45676.291666666664</v>
      </c>
      <c r="C313" s="82">
        <v>130</v>
      </c>
      <c r="D313" s="82" t="s">
        <v>194</v>
      </c>
      <c r="E313" s="82" t="s">
        <v>195</v>
      </c>
    </row>
    <row r="314" spans="1:5" ht="42" x14ac:dyDescent="0.2">
      <c r="A314" s="82" t="s">
        <v>266</v>
      </c>
      <c r="B314" s="83">
        <v>45676.291666666664</v>
      </c>
      <c r="C314" s="82">
        <v>1760000</v>
      </c>
      <c r="D314" s="82">
        <v>3800</v>
      </c>
      <c r="E314" s="82" t="s">
        <v>267</v>
      </c>
    </row>
    <row r="315" spans="1:5" ht="28" x14ac:dyDescent="0.2">
      <c r="A315" s="82" t="s">
        <v>268</v>
      </c>
      <c r="B315" s="83">
        <v>45676.291666666664</v>
      </c>
      <c r="C315" s="82">
        <v>4520000</v>
      </c>
      <c r="D315" s="82">
        <v>3800</v>
      </c>
      <c r="E315" s="82" t="s">
        <v>267</v>
      </c>
    </row>
    <row r="316" spans="1:5" ht="28" x14ac:dyDescent="0.2">
      <c r="A316" s="82" t="s">
        <v>196</v>
      </c>
      <c r="B316" s="83">
        <v>45676.291666666664</v>
      </c>
      <c r="C316" s="84">
        <v>0.4236111111111111</v>
      </c>
      <c r="D316" s="85"/>
      <c r="E316" s="82" t="s">
        <v>197</v>
      </c>
    </row>
    <row r="317" spans="1:5" ht="28" x14ac:dyDescent="0.2">
      <c r="A317" s="82" t="s">
        <v>198</v>
      </c>
      <c r="B317" s="83">
        <v>45676.291666666664</v>
      </c>
      <c r="C317" s="82">
        <v>219</v>
      </c>
      <c r="D317" s="82">
        <v>2</v>
      </c>
      <c r="E317" s="82" t="s">
        <v>199</v>
      </c>
    </row>
    <row r="318" spans="1:5" x14ac:dyDescent="0.2">
      <c r="A318" s="82" t="s">
        <v>200</v>
      </c>
      <c r="B318" s="83">
        <v>45676.291666666664</v>
      </c>
      <c r="C318" s="82" t="s">
        <v>432</v>
      </c>
      <c r="D318" s="82" t="s">
        <v>201</v>
      </c>
      <c r="E318" s="82" t="s">
        <v>184</v>
      </c>
    </row>
    <row r="319" spans="1:5" x14ac:dyDescent="0.2">
      <c r="A319" s="82" t="s">
        <v>202</v>
      </c>
      <c r="B319" s="83">
        <v>45676.291666666664</v>
      </c>
      <c r="C319" s="82" t="s">
        <v>203</v>
      </c>
      <c r="D319" s="82" t="s">
        <v>204</v>
      </c>
      <c r="E319" s="82" t="s">
        <v>184</v>
      </c>
    </row>
    <row r="320" spans="1:5" ht="28" x14ac:dyDescent="0.2">
      <c r="A320" s="82" t="s">
        <v>205</v>
      </c>
      <c r="B320" s="83">
        <v>45676.291666666664</v>
      </c>
      <c r="C320" s="82" t="s">
        <v>206</v>
      </c>
      <c r="D320" s="82" t="s">
        <v>207</v>
      </c>
      <c r="E320" s="82" t="s">
        <v>208</v>
      </c>
    </row>
    <row r="321" spans="1:5" x14ac:dyDescent="0.2">
      <c r="A321" s="82" t="s">
        <v>209</v>
      </c>
      <c r="B321" s="83">
        <v>45676.291666666664</v>
      </c>
      <c r="C321" s="82" t="s">
        <v>433</v>
      </c>
      <c r="D321" s="82" t="s">
        <v>211</v>
      </c>
      <c r="E321" s="82" t="s">
        <v>184</v>
      </c>
    </row>
    <row r="322" spans="1:5" ht="28" x14ac:dyDescent="0.2">
      <c r="A322" s="82" t="s">
        <v>212</v>
      </c>
      <c r="B322" s="83">
        <v>45676.291666666664</v>
      </c>
      <c r="C322" s="82" t="s">
        <v>434</v>
      </c>
      <c r="D322" s="82" t="s">
        <v>214</v>
      </c>
      <c r="E322" s="82" t="s">
        <v>215</v>
      </c>
    </row>
    <row r="323" spans="1:5" ht="28" x14ac:dyDescent="0.2">
      <c r="A323" s="82" t="s">
        <v>216</v>
      </c>
      <c r="B323" s="83">
        <v>45676.291666666664</v>
      </c>
      <c r="C323" s="82" t="s">
        <v>322</v>
      </c>
      <c r="D323" s="82" t="s">
        <v>218</v>
      </c>
      <c r="E323" s="82" t="s">
        <v>219</v>
      </c>
    </row>
    <row r="324" spans="1:5" x14ac:dyDescent="0.2">
      <c r="A324" s="82" t="s">
        <v>220</v>
      </c>
      <c r="B324" s="83">
        <v>45676.291666666664</v>
      </c>
      <c r="C324" s="82" t="s">
        <v>236</v>
      </c>
      <c r="D324" s="85"/>
      <c r="E324" s="82" t="s">
        <v>222</v>
      </c>
    </row>
    <row r="325" spans="1:5" ht="28" x14ac:dyDescent="0.2">
      <c r="A325" s="82" t="s">
        <v>223</v>
      </c>
      <c r="B325" s="83">
        <v>45676.291666666664</v>
      </c>
      <c r="C325" s="82" t="s">
        <v>435</v>
      </c>
      <c r="D325" s="82" t="s">
        <v>183</v>
      </c>
      <c r="E325" s="82" t="s">
        <v>219</v>
      </c>
    </row>
    <row r="326" spans="1:5" ht="84" x14ac:dyDescent="0.2">
      <c r="A326" s="82" t="s">
        <v>274</v>
      </c>
      <c r="B326" s="83">
        <v>45676.291666666664</v>
      </c>
      <c r="C326" s="82">
        <v>80000</v>
      </c>
      <c r="D326" s="82">
        <v>1000</v>
      </c>
      <c r="E326" s="82" t="s">
        <v>275</v>
      </c>
    </row>
    <row r="327" spans="1:5" x14ac:dyDescent="0.2">
      <c r="A327" s="82" t="s">
        <v>225</v>
      </c>
      <c r="B327" s="83">
        <v>45676.291666666664</v>
      </c>
      <c r="C327" s="82">
        <v>456</v>
      </c>
      <c r="D327" s="82">
        <v>4</v>
      </c>
      <c r="E327" s="82" t="s">
        <v>195</v>
      </c>
    </row>
    <row r="328" spans="1:5" ht="42" x14ac:dyDescent="0.2">
      <c r="A328" s="82" t="s">
        <v>226</v>
      </c>
      <c r="B328" s="83">
        <v>45676.291666666664</v>
      </c>
      <c r="C328" s="82" t="s">
        <v>436</v>
      </c>
      <c r="D328" s="85"/>
      <c r="E328" s="82" t="s">
        <v>227</v>
      </c>
    </row>
    <row r="329" spans="1:5" ht="56" x14ac:dyDescent="0.2">
      <c r="A329" s="82" t="s">
        <v>228</v>
      </c>
      <c r="B329" s="83">
        <v>45676.291666666664</v>
      </c>
      <c r="C329" s="82">
        <v>4</v>
      </c>
      <c r="D329" s="85"/>
      <c r="E329" s="82" t="s">
        <v>227</v>
      </c>
    </row>
    <row r="330" spans="1:5" x14ac:dyDescent="0.2">
      <c r="A330" s="82" t="s">
        <v>181</v>
      </c>
      <c r="B330" s="83">
        <v>45679.291666666664</v>
      </c>
      <c r="C330" s="82" t="s">
        <v>437</v>
      </c>
      <c r="D330" s="82" t="s">
        <v>183</v>
      </c>
      <c r="E330" s="82" t="s">
        <v>184</v>
      </c>
    </row>
    <row r="331" spans="1:5" ht="28" x14ac:dyDescent="0.2">
      <c r="A331" s="82" t="s">
        <v>185</v>
      </c>
      <c r="B331" s="83">
        <v>45679.291666666664</v>
      </c>
      <c r="C331" s="82" t="s">
        <v>438</v>
      </c>
      <c r="D331" s="82" t="s">
        <v>186</v>
      </c>
      <c r="E331" s="82" t="s">
        <v>187</v>
      </c>
    </row>
    <row r="332" spans="1:5" ht="28" x14ac:dyDescent="0.2">
      <c r="A332" s="82" t="s">
        <v>188</v>
      </c>
      <c r="B332" s="83">
        <v>45679.291666666664</v>
      </c>
      <c r="C332" s="82" t="s">
        <v>439</v>
      </c>
      <c r="D332" s="82" t="s">
        <v>190</v>
      </c>
      <c r="E332" s="82" t="s">
        <v>184</v>
      </c>
    </row>
    <row r="333" spans="1:5" x14ac:dyDescent="0.2">
      <c r="A333" s="82" t="s">
        <v>193</v>
      </c>
      <c r="B333" s="83">
        <v>45679.291666666664</v>
      </c>
      <c r="C333" s="82">
        <v>174</v>
      </c>
      <c r="D333" s="82" t="s">
        <v>194</v>
      </c>
      <c r="E333" s="82" t="s">
        <v>195</v>
      </c>
    </row>
    <row r="334" spans="1:5" ht="28" x14ac:dyDescent="0.2">
      <c r="A334" s="82" t="s">
        <v>196</v>
      </c>
      <c r="B334" s="83">
        <v>45679.291666666664</v>
      </c>
      <c r="C334" s="84">
        <v>0.41666666666666669</v>
      </c>
      <c r="D334" s="85"/>
      <c r="E334" s="82" t="s">
        <v>197</v>
      </c>
    </row>
    <row r="335" spans="1:5" ht="28" x14ac:dyDescent="0.2">
      <c r="A335" s="82" t="s">
        <v>198</v>
      </c>
      <c r="B335" s="83">
        <v>45679.291666666664</v>
      </c>
      <c r="C335" s="82">
        <v>226</v>
      </c>
      <c r="D335" s="82">
        <v>2</v>
      </c>
      <c r="E335" s="82" t="s">
        <v>199</v>
      </c>
    </row>
    <row r="336" spans="1:5" x14ac:dyDescent="0.2">
      <c r="A336" s="82" t="s">
        <v>200</v>
      </c>
      <c r="B336" s="83">
        <v>45679.291666666664</v>
      </c>
      <c r="C336" s="82" t="s">
        <v>440</v>
      </c>
      <c r="D336" s="82" t="s">
        <v>201</v>
      </c>
      <c r="E336" s="82" t="s">
        <v>184</v>
      </c>
    </row>
    <row r="337" spans="1:5" x14ac:dyDescent="0.2">
      <c r="A337" s="82" t="s">
        <v>202</v>
      </c>
      <c r="B337" s="83">
        <v>45679.291666666664</v>
      </c>
      <c r="C337" s="82" t="s">
        <v>441</v>
      </c>
      <c r="D337" s="82" t="s">
        <v>204</v>
      </c>
      <c r="E337" s="82" t="s">
        <v>184</v>
      </c>
    </row>
    <row r="338" spans="1:5" ht="28" x14ac:dyDescent="0.2">
      <c r="A338" s="82" t="s">
        <v>205</v>
      </c>
      <c r="B338" s="83">
        <v>45679.291666666664</v>
      </c>
      <c r="C338" s="82" t="s">
        <v>442</v>
      </c>
      <c r="D338" s="82" t="s">
        <v>207</v>
      </c>
      <c r="E338" s="82" t="s">
        <v>208</v>
      </c>
    </row>
    <row r="339" spans="1:5" x14ac:dyDescent="0.2">
      <c r="A339" s="82" t="s">
        <v>209</v>
      </c>
      <c r="B339" s="83">
        <v>45679.291666666664</v>
      </c>
      <c r="C339" s="82" t="s">
        <v>443</v>
      </c>
      <c r="D339" s="82" t="s">
        <v>211</v>
      </c>
      <c r="E339" s="82" t="s">
        <v>184</v>
      </c>
    </row>
    <row r="340" spans="1:5" ht="28" x14ac:dyDescent="0.2">
      <c r="A340" s="82" t="s">
        <v>212</v>
      </c>
      <c r="B340" s="83">
        <v>45679.291666666664</v>
      </c>
      <c r="C340" s="82" t="s">
        <v>291</v>
      </c>
      <c r="D340" s="82" t="s">
        <v>214</v>
      </c>
      <c r="E340" s="82" t="s">
        <v>215</v>
      </c>
    </row>
    <row r="341" spans="1:5" ht="28" x14ac:dyDescent="0.2">
      <c r="A341" s="82" t="s">
        <v>216</v>
      </c>
      <c r="B341" s="83">
        <v>45679.291666666664</v>
      </c>
      <c r="C341" s="82" t="s">
        <v>247</v>
      </c>
      <c r="D341" s="82" t="s">
        <v>218</v>
      </c>
      <c r="E341" s="82" t="s">
        <v>219</v>
      </c>
    </row>
    <row r="342" spans="1:5" x14ac:dyDescent="0.2">
      <c r="A342" s="82" t="s">
        <v>220</v>
      </c>
      <c r="B342" s="83">
        <v>45679.291666666664</v>
      </c>
      <c r="C342" s="82" t="s">
        <v>444</v>
      </c>
      <c r="D342" s="85"/>
      <c r="E342" s="82" t="s">
        <v>222</v>
      </c>
    </row>
    <row r="343" spans="1:5" ht="28" x14ac:dyDescent="0.2">
      <c r="A343" s="82" t="s">
        <v>223</v>
      </c>
      <c r="B343" s="83">
        <v>45679.291666666664</v>
      </c>
      <c r="C343" s="82" t="s">
        <v>445</v>
      </c>
      <c r="D343" s="82" t="s">
        <v>183</v>
      </c>
      <c r="E343" s="82" t="s">
        <v>219</v>
      </c>
    </row>
    <row r="344" spans="1:5" x14ac:dyDescent="0.2">
      <c r="A344" s="82" t="s">
        <v>225</v>
      </c>
      <c r="B344" s="83">
        <v>45679.291666666664</v>
      </c>
      <c r="C344" s="82">
        <v>403</v>
      </c>
      <c r="D344" s="82">
        <v>4</v>
      </c>
      <c r="E344" s="82" t="s">
        <v>195</v>
      </c>
    </row>
    <row r="345" spans="1:5" ht="42" x14ac:dyDescent="0.2">
      <c r="A345" s="82" t="s">
        <v>226</v>
      </c>
      <c r="B345" s="83">
        <v>45679.291666666664</v>
      </c>
      <c r="C345" s="82" t="s">
        <v>446</v>
      </c>
      <c r="D345" s="85"/>
      <c r="E345" s="82" t="s">
        <v>227</v>
      </c>
    </row>
    <row r="346" spans="1:5" ht="56" x14ac:dyDescent="0.2">
      <c r="A346" s="82" t="s">
        <v>228</v>
      </c>
      <c r="B346" s="83">
        <v>45679.291666666664</v>
      </c>
      <c r="C346" s="82" t="s">
        <v>285</v>
      </c>
      <c r="D346" s="85"/>
      <c r="E346" s="82" t="s">
        <v>227</v>
      </c>
    </row>
    <row r="347" spans="1:5" x14ac:dyDescent="0.2">
      <c r="A347" s="82" t="s">
        <v>181</v>
      </c>
      <c r="B347" s="83">
        <v>45683.291666666664</v>
      </c>
      <c r="C347" s="82" t="s">
        <v>447</v>
      </c>
      <c r="D347" s="82" t="s">
        <v>183</v>
      </c>
      <c r="E347" s="82" t="s">
        <v>184</v>
      </c>
    </row>
    <row r="348" spans="1:5" ht="28" x14ac:dyDescent="0.2">
      <c r="A348" s="82" t="s">
        <v>185</v>
      </c>
      <c r="B348" s="83">
        <v>45683.291666666664</v>
      </c>
      <c r="C348" s="82" t="s">
        <v>448</v>
      </c>
      <c r="D348" s="82" t="s">
        <v>186</v>
      </c>
      <c r="E348" s="82" t="s">
        <v>187</v>
      </c>
    </row>
    <row r="349" spans="1:5" ht="28" x14ac:dyDescent="0.2">
      <c r="A349" s="82" t="s">
        <v>188</v>
      </c>
      <c r="B349" s="83">
        <v>45683.291666666664</v>
      </c>
      <c r="C349" s="82" t="s">
        <v>449</v>
      </c>
      <c r="D349" s="82" t="s">
        <v>190</v>
      </c>
      <c r="E349" s="82" t="s">
        <v>184</v>
      </c>
    </row>
    <row r="350" spans="1:5" x14ac:dyDescent="0.2">
      <c r="A350" s="82" t="s">
        <v>193</v>
      </c>
      <c r="B350" s="83">
        <v>45683.291666666664</v>
      </c>
      <c r="C350" s="82">
        <v>161</v>
      </c>
      <c r="D350" s="82" t="s">
        <v>194</v>
      </c>
      <c r="E350" s="82" t="s">
        <v>195</v>
      </c>
    </row>
    <row r="351" spans="1:5" ht="28" x14ac:dyDescent="0.2">
      <c r="A351" s="82" t="s">
        <v>196</v>
      </c>
      <c r="B351" s="83">
        <v>45683.291666666664</v>
      </c>
      <c r="C351" s="84">
        <v>0.4236111111111111</v>
      </c>
      <c r="D351" s="85"/>
      <c r="E351" s="82" t="s">
        <v>197</v>
      </c>
    </row>
    <row r="352" spans="1:5" ht="28" x14ac:dyDescent="0.2">
      <c r="A352" s="82" t="s">
        <v>198</v>
      </c>
      <c r="B352" s="83">
        <v>45683.291666666664</v>
      </c>
      <c r="C352" s="82">
        <v>164</v>
      </c>
      <c r="D352" s="82">
        <v>2</v>
      </c>
      <c r="E352" s="82" t="s">
        <v>199</v>
      </c>
    </row>
    <row r="353" spans="1:5" x14ac:dyDescent="0.2">
      <c r="A353" s="82" t="s">
        <v>200</v>
      </c>
      <c r="B353" s="83">
        <v>45683.291666666664</v>
      </c>
      <c r="C353" s="82" t="s">
        <v>450</v>
      </c>
      <c r="D353" s="82" t="s">
        <v>201</v>
      </c>
      <c r="E353" s="82" t="s">
        <v>184</v>
      </c>
    </row>
    <row r="354" spans="1:5" x14ac:dyDescent="0.2">
      <c r="A354" s="82" t="s">
        <v>202</v>
      </c>
      <c r="B354" s="83">
        <v>45683.291666666664</v>
      </c>
      <c r="C354" s="82" t="s">
        <v>451</v>
      </c>
      <c r="D354" s="82" t="s">
        <v>204</v>
      </c>
      <c r="E354" s="82" t="s">
        <v>184</v>
      </c>
    </row>
    <row r="355" spans="1:5" ht="28" x14ac:dyDescent="0.2">
      <c r="A355" s="82" t="s">
        <v>205</v>
      </c>
      <c r="B355" s="83">
        <v>45683.291666666664</v>
      </c>
      <c r="C355" s="82" t="s">
        <v>452</v>
      </c>
      <c r="D355" s="82" t="s">
        <v>207</v>
      </c>
      <c r="E355" s="82" t="s">
        <v>208</v>
      </c>
    </row>
    <row r="356" spans="1:5" x14ac:dyDescent="0.2">
      <c r="A356" s="82" t="s">
        <v>209</v>
      </c>
      <c r="B356" s="83">
        <v>45683.291666666664</v>
      </c>
      <c r="C356" s="82" t="s">
        <v>441</v>
      </c>
      <c r="D356" s="82" t="s">
        <v>211</v>
      </c>
      <c r="E356" s="82" t="s">
        <v>184</v>
      </c>
    </row>
    <row r="357" spans="1:5" ht="28" x14ac:dyDescent="0.2">
      <c r="A357" s="82" t="s">
        <v>212</v>
      </c>
      <c r="B357" s="83">
        <v>45683.291666666664</v>
      </c>
      <c r="C357" s="82" t="s">
        <v>453</v>
      </c>
      <c r="D357" s="82" t="s">
        <v>214</v>
      </c>
      <c r="E357" s="82" t="s">
        <v>215</v>
      </c>
    </row>
    <row r="358" spans="1:5" ht="28" x14ac:dyDescent="0.2">
      <c r="A358" s="82" t="s">
        <v>216</v>
      </c>
      <c r="B358" s="83">
        <v>45683.291666666664</v>
      </c>
      <c r="C358" s="82" t="s">
        <v>326</v>
      </c>
      <c r="D358" s="82" t="s">
        <v>218</v>
      </c>
      <c r="E358" s="82" t="s">
        <v>219</v>
      </c>
    </row>
    <row r="359" spans="1:5" x14ac:dyDescent="0.2">
      <c r="A359" s="82" t="s">
        <v>220</v>
      </c>
      <c r="B359" s="83">
        <v>45683.291666666664</v>
      </c>
      <c r="C359" s="82" t="s">
        <v>302</v>
      </c>
      <c r="D359" s="85"/>
      <c r="E359" s="82" t="s">
        <v>222</v>
      </c>
    </row>
    <row r="360" spans="1:5" ht="28" x14ac:dyDescent="0.2">
      <c r="A360" s="82" t="s">
        <v>223</v>
      </c>
      <c r="B360" s="83">
        <v>45683.291666666664</v>
      </c>
      <c r="C360" s="82" t="s">
        <v>336</v>
      </c>
      <c r="D360" s="82" t="s">
        <v>183</v>
      </c>
      <c r="E360" s="82" t="s">
        <v>219</v>
      </c>
    </row>
    <row r="361" spans="1:5" x14ac:dyDescent="0.2">
      <c r="A361" s="82" t="s">
        <v>225</v>
      </c>
      <c r="B361" s="83">
        <v>45683.291666666664</v>
      </c>
      <c r="C361" s="82">
        <v>383</v>
      </c>
      <c r="D361" s="82">
        <v>4</v>
      </c>
      <c r="E361" s="82" t="s">
        <v>195</v>
      </c>
    </row>
    <row r="362" spans="1:5" ht="42" x14ac:dyDescent="0.2">
      <c r="A362" s="82" t="s">
        <v>226</v>
      </c>
      <c r="B362" s="83">
        <v>45683.291666666664</v>
      </c>
      <c r="C362" s="82" t="s">
        <v>310</v>
      </c>
      <c r="D362" s="85"/>
      <c r="E362" s="82" t="s">
        <v>227</v>
      </c>
    </row>
    <row r="363" spans="1:5" ht="56" x14ac:dyDescent="0.2">
      <c r="A363" s="82" t="s">
        <v>228</v>
      </c>
      <c r="B363" s="83">
        <v>45683.291666666664</v>
      </c>
      <c r="C363" s="82" t="s">
        <v>224</v>
      </c>
      <c r="D363" s="85"/>
      <c r="E363" s="82" t="s">
        <v>227</v>
      </c>
    </row>
    <row r="364" spans="1:5" x14ac:dyDescent="0.2">
      <c r="A364" s="82" t="s">
        <v>181</v>
      </c>
      <c r="B364" s="83">
        <v>45686.291666666664</v>
      </c>
      <c r="C364" s="82" t="s">
        <v>454</v>
      </c>
      <c r="D364" s="82" t="s">
        <v>183</v>
      </c>
      <c r="E364" s="82" t="s">
        <v>184</v>
      </c>
    </row>
    <row r="365" spans="1:5" ht="28" x14ac:dyDescent="0.2">
      <c r="A365" s="82" t="s">
        <v>185</v>
      </c>
      <c r="B365" s="83">
        <v>45686.291666666664</v>
      </c>
      <c r="C365" s="82" t="s">
        <v>455</v>
      </c>
      <c r="D365" s="82" t="s">
        <v>186</v>
      </c>
      <c r="E365" s="82" t="s">
        <v>187</v>
      </c>
    </row>
    <row r="366" spans="1:5" ht="28" x14ac:dyDescent="0.2">
      <c r="A366" s="82" t="s">
        <v>188</v>
      </c>
      <c r="B366" s="83">
        <v>45686.291666666664</v>
      </c>
      <c r="C366" s="82" t="s">
        <v>456</v>
      </c>
      <c r="D366" s="82" t="s">
        <v>190</v>
      </c>
      <c r="E366" s="82" t="s">
        <v>184</v>
      </c>
    </row>
    <row r="367" spans="1:5" x14ac:dyDescent="0.2">
      <c r="A367" s="82" t="s">
        <v>193</v>
      </c>
      <c r="B367" s="83">
        <v>45686.291666666664</v>
      </c>
      <c r="C367" s="82">
        <v>128</v>
      </c>
      <c r="D367" s="82" t="s">
        <v>194</v>
      </c>
      <c r="E367" s="82" t="s">
        <v>195</v>
      </c>
    </row>
    <row r="368" spans="1:5" ht="28" x14ac:dyDescent="0.2">
      <c r="A368" s="82" t="s">
        <v>196</v>
      </c>
      <c r="B368" s="83">
        <v>45686.291666666664</v>
      </c>
      <c r="C368" s="84">
        <v>0.40625</v>
      </c>
      <c r="D368" s="85"/>
      <c r="E368" s="82" t="s">
        <v>197</v>
      </c>
    </row>
    <row r="369" spans="1:5" ht="28" x14ac:dyDescent="0.2">
      <c r="A369" s="82" t="s">
        <v>198</v>
      </c>
      <c r="B369" s="83">
        <v>45686.291666666664</v>
      </c>
      <c r="C369" s="82">
        <v>207</v>
      </c>
      <c r="D369" s="82">
        <v>2</v>
      </c>
      <c r="E369" s="82" t="s">
        <v>199</v>
      </c>
    </row>
    <row r="370" spans="1:5" x14ac:dyDescent="0.2">
      <c r="A370" s="82" t="s">
        <v>200</v>
      </c>
      <c r="B370" s="83">
        <v>45686.291666666664</v>
      </c>
      <c r="C370" s="82" t="s">
        <v>321</v>
      </c>
      <c r="D370" s="82" t="s">
        <v>201</v>
      </c>
      <c r="E370" s="82" t="s">
        <v>184</v>
      </c>
    </row>
    <row r="371" spans="1:5" x14ac:dyDescent="0.2">
      <c r="A371" s="82" t="s">
        <v>202</v>
      </c>
      <c r="B371" s="83">
        <v>45686.291666666664</v>
      </c>
      <c r="C371" s="82" t="s">
        <v>292</v>
      </c>
      <c r="D371" s="82" t="s">
        <v>204</v>
      </c>
      <c r="E371" s="82" t="s">
        <v>184</v>
      </c>
    </row>
    <row r="372" spans="1:5" ht="28" x14ac:dyDescent="0.2">
      <c r="A372" s="82" t="s">
        <v>205</v>
      </c>
      <c r="B372" s="83">
        <v>45686.291666666664</v>
      </c>
      <c r="C372" s="82" t="s">
        <v>457</v>
      </c>
      <c r="D372" s="82" t="s">
        <v>207</v>
      </c>
      <c r="E372" s="82" t="s">
        <v>208</v>
      </c>
    </row>
    <row r="373" spans="1:5" x14ac:dyDescent="0.2">
      <c r="A373" s="82" t="s">
        <v>209</v>
      </c>
      <c r="B373" s="83">
        <v>45686.291666666664</v>
      </c>
      <c r="C373" s="82" t="s">
        <v>458</v>
      </c>
      <c r="D373" s="82" t="s">
        <v>211</v>
      </c>
      <c r="E373" s="82" t="s">
        <v>184</v>
      </c>
    </row>
    <row r="374" spans="1:5" ht="28" x14ac:dyDescent="0.2">
      <c r="A374" s="82" t="s">
        <v>212</v>
      </c>
      <c r="B374" s="83">
        <v>45686.291666666664</v>
      </c>
      <c r="C374" s="82" t="s">
        <v>459</v>
      </c>
      <c r="D374" s="82" t="s">
        <v>214</v>
      </c>
      <c r="E374" s="82" t="s">
        <v>215</v>
      </c>
    </row>
    <row r="375" spans="1:5" ht="28" x14ac:dyDescent="0.2">
      <c r="A375" s="82" t="s">
        <v>216</v>
      </c>
      <c r="B375" s="83">
        <v>45686.291666666664</v>
      </c>
      <c r="C375" s="82" t="s">
        <v>451</v>
      </c>
      <c r="D375" s="82" t="s">
        <v>218</v>
      </c>
      <c r="E375" s="82" t="s">
        <v>219</v>
      </c>
    </row>
    <row r="376" spans="1:5" x14ac:dyDescent="0.2">
      <c r="A376" s="82" t="s">
        <v>220</v>
      </c>
      <c r="B376" s="83">
        <v>45686.291666666664</v>
      </c>
      <c r="C376" s="82" t="s">
        <v>460</v>
      </c>
      <c r="D376" s="85"/>
      <c r="E376" s="82" t="s">
        <v>222</v>
      </c>
    </row>
    <row r="377" spans="1:5" ht="28" x14ac:dyDescent="0.2">
      <c r="A377" s="82" t="s">
        <v>223</v>
      </c>
      <c r="B377" s="83">
        <v>45686.291666666664</v>
      </c>
      <c r="C377" s="82" t="s">
        <v>346</v>
      </c>
      <c r="D377" s="82" t="s">
        <v>183</v>
      </c>
      <c r="E377" s="82" t="s">
        <v>219</v>
      </c>
    </row>
    <row r="378" spans="1:5" x14ac:dyDescent="0.2">
      <c r="A378" s="82" t="s">
        <v>225</v>
      </c>
      <c r="B378" s="83">
        <v>45686.291666666664</v>
      </c>
      <c r="C378" s="82">
        <v>372</v>
      </c>
      <c r="D378" s="82">
        <v>4</v>
      </c>
      <c r="E378" s="82" t="s">
        <v>195</v>
      </c>
    </row>
    <row r="379" spans="1:5" ht="42" x14ac:dyDescent="0.2">
      <c r="A379" s="82" t="s">
        <v>226</v>
      </c>
      <c r="B379" s="83">
        <v>45686.291666666664</v>
      </c>
      <c r="C379" s="82" t="s">
        <v>250</v>
      </c>
      <c r="D379" s="85"/>
      <c r="E379" s="82" t="s">
        <v>227</v>
      </c>
    </row>
    <row r="380" spans="1:5" ht="56" x14ac:dyDescent="0.2">
      <c r="A380" s="82" t="s">
        <v>228</v>
      </c>
      <c r="B380" s="83">
        <v>45686.291666666664</v>
      </c>
      <c r="C380" s="82" t="s">
        <v>347</v>
      </c>
      <c r="D380" s="85"/>
      <c r="E380" s="82" t="s">
        <v>227</v>
      </c>
    </row>
    <row r="381" spans="1:5" x14ac:dyDescent="0.2">
      <c r="A381" s="82" t="s">
        <v>181</v>
      </c>
      <c r="B381" s="83">
        <v>45690.291666666664</v>
      </c>
      <c r="C381" s="82">
        <v>32</v>
      </c>
      <c r="D381" s="82" t="s">
        <v>183</v>
      </c>
      <c r="E381" s="82" t="s">
        <v>184</v>
      </c>
    </row>
    <row r="382" spans="1:5" ht="28" x14ac:dyDescent="0.2">
      <c r="A382" s="82" t="s">
        <v>185</v>
      </c>
      <c r="B382" s="83">
        <v>45690.291666666664</v>
      </c>
      <c r="C382" s="82" t="s">
        <v>461</v>
      </c>
      <c r="D382" s="82" t="s">
        <v>186</v>
      </c>
      <c r="E382" s="82" t="s">
        <v>187</v>
      </c>
    </row>
    <row r="383" spans="1:5" ht="28" x14ac:dyDescent="0.2">
      <c r="A383" s="82" t="s">
        <v>188</v>
      </c>
      <c r="B383" s="83">
        <v>45690.291666666664</v>
      </c>
      <c r="C383" s="82" t="s">
        <v>462</v>
      </c>
      <c r="D383" s="82" t="s">
        <v>190</v>
      </c>
      <c r="E383" s="82" t="s">
        <v>184</v>
      </c>
    </row>
    <row r="384" spans="1:5" x14ac:dyDescent="0.2">
      <c r="A384" s="82" t="s">
        <v>193</v>
      </c>
      <c r="B384" s="83">
        <v>45690.291666666664</v>
      </c>
      <c r="C384" s="82">
        <v>228</v>
      </c>
      <c r="D384" s="82" t="s">
        <v>194</v>
      </c>
      <c r="E384" s="82" t="s">
        <v>195</v>
      </c>
    </row>
    <row r="385" spans="1:5" ht="28" x14ac:dyDescent="0.2">
      <c r="A385" s="82" t="s">
        <v>196</v>
      </c>
      <c r="B385" s="83">
        <v>45690.291666666664</v>
      </c>
      <c r="C385" s="84">
        <v>0.38541666666666669</v>
      </c>
      <c r="D385" s="85"/>
      <c r="E385" s="82" t="s">
        <v>197</v>
      </c>
    </row>
    <row r="386" spans="1:5" ht="28" x14ac:dyDescent="0.2">
      <c r="A386" s="82" t="s">
        <v>198</v>
      </c>
      <c r="B386" s="83">
        <v>45690.291666666664</v>
      </c>
      <c r="C386" s="82">
        <v>192</v>
      </c>
      <c r="D386" s="82">
        <v>2</v>
      </c>
      <c r="E386" s="82" t="s">
        <v>199</v>
      </c>
    </row>
    <row r="387" spans="1:5" x14ac:dyDescent="0.2">
      <c r="A387" s="82" t="s">
        <v>200</v>
      </c>
      <c r="B387" s="83">
        <v>45690.291666666664</v>
      </c>
      <c r="C387" s="82" t="s">
        <v>432</v>
      </c>
      <c r="D387" s="82" t="s">
        <v>201</v>
      </c>
      <c r="E387" s="82" t="s">
        <v>184</v>
      </c>
    </row>
    <row r="388" spans="1:5" x14ac:dyDescent="0.2">
      <c r="A388" s="82" t="s">
        <v>202</v>
      </c>
      <c r="B388" s="83">
        <v>45690.291666666664</v>
      </c>
      <c r="C388" s="82" t="s">
        <v>203</v>
      </c>
      <c r="D388" s="82" t="s">
        <v>204</v>
      </c>
      <c r="E388" s="82" t="s">
        <v>184</v>
      </c>
    </row>
    <row r="389" spans="1:5" ht="28" x14ac:dyDescent="0.2">
      <c r="A389" s="82" t="s">
        <v>205</v>
      </c>
      <c r="B389" s="83">
        <v>45690.291666666664</v>
      </c>
      <c r="C389" s="82" t="s">
        <v>206</v>
      </c>
      <c r="D389" s="82" t="s">
        <v>207</v>
      </c>
      <c r="E389" s="82" t="s">
        <v>208</v>
      </c>
    </row>
    <row r="390" spans="1:5" x14ac:dyDescent="0.2">
      <c r="A390" s="82" t="s">
        <v>209</v>
      </c>
      <c r="B390" s="83">
        <v>45690.291666666664</v>
      </c>
      <c r="C390" s="82" t="s">
        <v>463</v>
      </c>
      <c r="D390" s="82" t="s">
        <v>211</v>
      </c>
      <c r="E390" s="82" t="s">
        <v>184</v>
      </c>
    </row>
    <row r="391" spans="1:5" ht="28" x14ac:dyDescent="0.2">
      <c r="A391" s="82" t="s">
        <v>212</v>
      </c>
      <c r="B391" s="83">
        <v>45690.291666666664</v>
      </c>
      <c r="C391" s="82" t="s">
        <v>464</v>
      </c>
      <c r="D391" s="82" t="s">
        <v>214</v>
      </c>
      <c r="E391" s="82" t="s">
        <v>215</v>
      </c>
    </row>
    <row r="392" spans="1:5" ht="28" x14ac:dyDescent="0.2">
      <c r="A392" s="82" t="s">
        <v>216</v>
      </c>
      <c r="B392" s="83">
        <v>45690.291666666664</v>
      </c>
      <c r="C392" s="82" t="s">
        <v>246</v>
      </c>
      <c r="D392" s="82" t="s">
        <v>218</v>
      </c>
      <c r="E392" s="82" t="s">
        <v>219</v>
      </c>
    </row>
    <row r="393" spans="1:5" x14ac:dyDescent="0.2">
      <c r="A393" s="82" t="s">
        <v>220</v>
      </c>
      <c r="B393" s="83">
        <v>45690.291666666664</v>
      </c>
      <c r="C393" s="82" t="s">
        <v>248</v>
      </c>
      <c r="D393" s="85"/>
      <c r="E393" s="82" t="s">
        <v>222</v>
      </c>
    </row>
    <row r="394" spans="1:5" ht="28" x14ac:dyDescent="0.2">
      <c r="A394" s="82" t="s">
        <v>223</v>
      </c>
      <c r="B394" s="83">
        <v>45690.291666666664</v>
      </c>
      <c r="C394" s="82" t="s">
        <v>465</v>
      </c>
      <c r="D394" s="82" t="s">
        <v>183</v>
      </c>
      <c r="E394" s="82" t="s">
        <v>219</v>
      </c>
    </row>
    <row r="395" spans="1:5" x14ac:dyDescent="0.2">
      <c r="A395" s="82" t="s">
        <v>225</v>
      </c>
      <c r="B395" s="83">
        <v>45690.291666666664</v>
      </c>
      <c r="C395" s="82">
        <v>489</v>
      </c>
      <c r="D395" s="82">
        <v>4</v>
      </c>
      <c r="E395" s="82" t="s">
        <v>195</v>
      </c>
    </row>
    <row r="396" spans="1:5" ht="42" x14ac:dyDescent="0.2">
      <c r="A396" s="82" t="s">
        <v>226</v>
      </c>
      <c r="B396" s="83">
        <v>45690.291666666664</v>
      </c>
      <c r="C396" s="82" t="s">
        <v>446</v>
      </c>
      <c r="D396" s="85"/>
      <c r="E396" s="82" t="s">
        <v>227</v>
      </c>
    </row>
    <row r="397" spans="1:5" ht="56" x14ac:dyDescent="0.2">
      <c r="A397" s="82" t="s">
        <v>228</v>
      </c>
      <c r="B397" s="83">
        <v>45690.291666666664</v>
      </c>
      <c r="C397" s="82" t="s">
        <v>466</v>
      </c>
      <c r="D397" s="85"/>
      <c r="E397" s="82" t="s">
        <v>227</v>
      </c>
    </row>
    <row r="398" spans="1:5" x14ac:dyDescent="0.2">
      <c r="A398" s="82" t="s">
        <v>181</v>
      </c>
      <c r="B398" s="83">
        <v>45693.291666666664</v>
      </c>
      <c r="C398" s="82" t="s">
        <v>456</v>
      </c>
      <c r="D398" s="82" t="s">
        <v>183</v>
      </c>
      <c r="E398" s="82" t="s">
        <v>184</v>
      </c>
    </row>
    <row r="399" spans="1:5" ht="28" x14ac:dyDescent="0.2">
      <c r="A399" s="82" t="s">
        <v>185</v>
      </c>
      <c r="B399" s="83">
        <v>45693.291666666664</v>
      </c>
      <c r="C399" s="82" t="s">
        <v>280</v>
      </c>
      <c r="D399" s="82" t="s">
        <v>186</v>
      </c>
      <c r="E399" s="82" t="s">
        <v>187</v>
      </c>
    </row>
    <row r="400" spans="1:5" ht="28" x14ac:dyDescent="0.2">
      <c r="A400" s="82" t="s">
        <v>188</v>
      </c>
      <c r="B400" s="83">
        <v>45693.291666666664</v>
      </c>
      <c r="C400" s="82" t="s">
        <v>467</v>
      </c>
      <c r="D400" s="82" t="s">
        <v>190</v>
      </c>
      <c r="E400" s="82" t="s">
        <v>184</v>
      </c>
    </row>
    <row r="401" spans="1:5" x14ac:dyDescent="0.2">
      <c r="A401" s="82" t="s">
        <v>193</v>
      </c>
      <c r="B401" s="83">
        <v>45693.291666666664</v>
      </c>
      <c r="C401" s="82">
        <v>161</v>
      </c>
      <c r="D401" s="82" t="s">
        <v>194</v>
      </c>
      <c r="E401" s="82" t="s">
        <v>195</v>
      </c>
    </row>
    <row r="402" spans="1:5" ht="28" x14ac:dyDescent="0.2">
      <c r="A402" s="82" t="s">
        <v>196</v>
      </c>
      <c r="B402" s="83">
        <v>45693.291666666664</v>
      </c>
      <c r="C402" s="84">
        <v>0.40972222222222221</v>
      </c>
      <c r="D402" s="85"/>
      <c r="E402" s="82" t="s">
        <v>197</v>
      </c>
    </row>
    <row r="403" spans="1:5" ht="28" x14ac:dyDescent="0.2">
      <c r="A403" s="82" t="s">
        <v>198</v>
      </c>
      <c r="B403" s="83">
        <v>45693.291666666664</v>
      </c>
      <c r="C403" s="82">
        <v>238</v>
      </c>
      <c r="D403" s="82">
        <v>2</v>
      </c>
      <c r="E403" s="82" t="s">
        <v>199</v>
      </c>
    </row>
    <row r="404" spans="1:5" x14ac:dyDescent="0.2">
      <c r="A404" s="82" t="s">
        <v>200</v>
      </c>
      <c r="B404" s="83">
        <v>45693.291666666664</v>
      </c>
      <c r="C404" s="82">
        <v>52</v>
      </c>
      <c r="D404" s="82" t="s">
        <v>201</v>
      </c>
      <c r="E404" s="82" t="s">
        <v>184</v>
      </c>
    </row>
    <row r="405" spans="1:5" x14ac:dyDescent="0.2">
      <c r="A405" s="82" t="s">
        <v>202</v>
      </c>
      <c r="B405" s="83">
        <v>45693.291666666664</v>
      </c>
      <c r="C405" s="82" t="s">
        <v>203</v>
      </c>
      <c r="D405" s="82" t="s">
        <v>204</v>
      </c>
      <c r="E405" s="82" t="s">
        <v>184</v>
      </c>
    </row>
    <row r="406" spans="1:5" ht="28" x14ac:dyDescent="0.2">
      <c r="A406" s="82" t="s">
        <v>205</v>
      </c>
      <c r="B406" s="83">
        <v>45693.291666666664</v>
      </c>
      <c r="C406" s="82" t="s">
        <v>206</v>
      </c>
      <c r="D406" s="82" t="s">
        <v>207</v>
      </c>
      <c r="E406" s="82" t="s">
        <v>208</v>
      </c>
    </row>
    <row r="407" spans="1:5" x14ac:dyDescent="0.2">
      <c r="A407" s="82" t="s">
        <v>209</v>
      </c>
      <c r="B407" s="83">
        <v>45693.291666666664</v>
      </c>
      <c r="C407" s="82" t="s">
        <v>218</v>
      </c>
      <c r="D407" s="82" t="s">
        <v>211</v>
      </c>
      <c r="E407" s="82" t="s">
        <v>184</v>
      </c>
    </row>
    <row r="408" spans="1:5" ht="28" x14ac:dyDescent="0.2">
      <c r="A408" s="82" t="s">
        <v>212</v>
      </c>
      <c r="B408" s="83">
        <v>45693.291666666664</v>
      </c>
      <c r="C408" s="82" t="s">
        <v>468</v>
      </c>
      <c r="D408" s="82" t="s">
        <v>214</v>
      </c>
      <c r="E408" s="82" t="s">
        <v>215</v>
      </c>
    </row>
    <row r="409" spans="1:5" ht="28" x14ac:dyDescent="0.2">
      <c r="A409" s="82" t="s">
        <v>216</v>
      </c>
      <c r="B409" s="83">
        <v>45693.291666666664</v>
      </c>
      <c r="C409" s="82" t="s">
        <v>235</v>
      </c>
      <c r="D409" s="82" t="s">
        <v>218</v>
      </c>
      <c r="E409" s="82" t="s">
        <v>219</v>
      </c>
    </row>
    <row r="410" spans="1:5" x14ac:dyDescent="0.2">
      <c r="A410" s="82" t="s">
        <v>220</v>
      </c>
      <c r="B410" s="83">
        <v>45693.291666666664</v>
      </c>
      <c r="C410" s="82">
        <v>8</v>
      </c>
      <c r="D410" s="85"/>
      <c r="E410" s="82" t="s">
        <v>222</v>
      </c>
    </row>
    <row r="411" spans="1:5" ht="28" x14ac:dyDescent="0.2">
      <c r="A411" s="82" t="s">
        <v>223</v>
      </c>
      <c r="B411" s="83">
        <v>45693.291666666664</v>
      </c>
      <c r="C411" s="82" t="s">
        <v>237</v>
      </c>
      <c r="D411" s="82" t="s">
        <v>183</v>
      </c>
      <c r="E411" s="82" t="s">
        <v>219</v>
      </c>
    </row>
    <row r="412" spans="1:5" x14ac:dyDescent="0.2">
      <c r="A412" s="82" t="s">
        <v>225</v>
      </c>
      <c r="B412" s="83">
        <v>45693.291666666664</v>
      </c>
      <c r="C412" s="82">
        <v>544</v>
      </c>
      <c r="D412" s="82">
        <v>4</v>
      </c>
      <c r="E412" s="82" t="s">
        <v>195</v>
      </c>
    </row>
    <row r="413" spans="1:5" ht="42" x14ac:dyDescent="0.2">
      <c r="A413" s="82" t="s">
        <v>226</v>
      </c>
      <c r="B413" s="83">
        <v>45693.291666666664</v>
      </c>
      <c r="C413" s="82" t="s">
        <v>469</v>
      </c>
      <c r="D413" s="85"/>
      <c r="E413" s="82" t="s">
        <v>227</v>
      </c>
    </row>
    <row r="414" spans="1:5" ht="56" x14ac:dyDescent="0.2">
      <c r="A414" s="82" t="s">
        <v>228</v>
      </c>
      <c r="B414" s="83">
        <v>45693.291666666664</v>
      </c>
      <c r="C414" s="82" t="s">
        <v>251</v>
      </c>
      <c r="D414" s="85"/>
      <c r="E414" s="82" t="s">
        <v>227</v>
      </c>
    </row>
    <row r="415" spans="1:5" x14ac:dyDescent="0.2">
      <c r="A415" s="82" t="s">
        <v>181</v>
      </c>
      <c r="B415" s="83">
        <v>45697.291666666664</v>
      </c>
      <c r="C415" s="82" t="s">
        <v>470</v>
      </c>
      <c r="D415" s="82" t="s">
        <v>183</v>
      </c>
      <c r="E415" s="82" t="s">
        <v>184</v>
      </c>
    </row>
    <row r="416" spans="1:5" ht="28" x14ac:dyDescent="0.2">
      <c r="A416" s="82" t="s">
        <v>185</v>
      </c>
      <c r="B416" s="83">
        <v>45697.291666666664</v>
      </c>
      <c r="C416" s="82" t="s">
        <v>471</v>
      </c>
      <c r="D416" s="82" t="s">
        <v>186</v>
      </c>
      <c r="E416" s="82" t="s">
        <v>187</v>
      </c>
    </row>
    <row r="417" spans="1:5" ht="28" x14ac:dyDescent="0.2">
      <c r="A417" s="82" t="s">
        <v>188</v>
      </c>
      <c r="B417" s="83">
        <v>45697.291666666664</v>
      </c>
      <c r="C417" s="82" t="s">
        <v>472</v>
      </c>
      <c r="D417" s="82" t="s">
        <v>190</v>
      </c>
      <c r="E417" s="82" t="s">
        <v>184</v>
      </c>
    </row>
    <row r="418" spans="1:5" x14ac:dyDescent="0.2">
      <c r="A418" s="82" t="s">
        <v>193</v>
      </c>
      <c r="B418" s="83">
        <v>45697.291666666664</v>
      </c>
      <c r="C418" s="82">
        <v>178</v>
      </c>
      <c r="D418" s="82" t="s">
        <v>194</v>
      </c>
      <c r="E418" s="82" t="s">
        <v>195</v>
      </c>
    </row>
    <row r="419" spans="1:5" ht="28" x14ac:dyDescent="0.2">
      <c r="A419" s="82" t="s">
        <v>196</v>
      </c>
      <c r="B419" s="83">
        <v>45697.291666666664</v>
      </c>
      <c r="C419" s="84">
        <v>0.41666666666666669</v>
      </c>
      <c r="D419" s="85"/>
      <c r="E419" s="82" t="s">
        <v>197</v>
      </c>
    </row>
    <row r="420" spans="1:5" ht="28" x14ac:dyDescent="0.2">
      <c r="A420" s="82" t="s">
        <v>198</v>
      </c>
      <c r="B420" s="83">
        <v>45697.291666666664</v>
      </c>
      <c r="C420" s="82">
        <v>199</v>
      </c>
      <c r="D420" s="82">
        <v>2</v>
      </c>
      <c r="E420" s="82" t="s">
        <v>199</v>
      </c>
    </row>
    <row r="421" spans="1:5" x14ac:dyDescent="0.2">
      <c r="A421" s="82" t="s">
        <v>200</v>
      </c>
      <c r="B421" s="83">
        <v>45697.291666666664</v>
      </c>
      <c r="C421" s="82">
        <v>45</v>
      </c>
      <c r="D421" s="82" t="s">
        <v>201</v>
      </c>
      <c r="E421" s="82" t="s">
        <v>184</v>
      </c>
    </row>
    <row r="422" spans="1:5" x14ac:dyDescent="0.2">
      <c r="A422" s="82" t="s">
        <v>202</v>
      </c>
      <c r="B422" s="83">
        <v>45697.291666666664</v>
      </c>
      <c r="C422" s="82" t="s">
        <v>473</v>
      </c>
      <c r="D422" s="82" t="s">
        <v>204</v>
      </c>
      <c r="E422" s="82" t="s">
        <v>184</v>
      </c>
    </row>
    <row r="423" spans="1:5" ht="28" x14ac:dyDescent="0.2">
      <c r="A423" s="82" t="s">
        <v>205</v>
      </c>
      <c r="B423" s="83">
        <v>45697.291666666664</v>
      </c>
      <c r="C423" s="82" t="s">
        <v>474</v>
      </c>
      <c r="D423" s="82" t="s">
        <v>207</v>
      </c>
      <c r="E423" s="82" t="s">
        <v>208</v>
      </c>
    </row>
    <row r="424" spans="1:5" x14ac:dyDescent="0.2">
      <c r="A424" s="82" t="s">
        <v>209</v>
      </c>
      <c r="B424" s="83">
        <v>45697.291666666664</v>
      </c>
      <c r="C424" s="82" t="s">
        <v>458</v>
      </c>
      <c r="D424" s="82" t="s">
        <v>211</v>
      </c>
      <c r="E424" s="82" t="s">
        <v>184</v>
      </c>
    </row>
    <row r="425" spans="1:5" ht="28" x14ac:dyDescent="0.2">
      <c r="A425" s="82" t="s">
        <v>212</v>
      </c>
      <c r="B425" s="83">
        <v>45697.291666666664</v>
      </c>
      <c r="C425" s="82" t="s">
        <v>459</v>
      </c>
      <c r="D425" s="82" t="s">
        <v>214</v>
      </c>
      <c r="E425" s="82" t="s">
        <v>215</v>
      </c>
    </row>
    <row r="426" spans="1:5" ht="28" x14ac:dyDescent="0.2">
      <c r="A426" s="82" t="s">
        <v>216</v>
      </c>
      <c r="B426" s="83">
        <v>45697.291666666664</v>
      </c>
      <c r="C426" s="82" t="s">
        <v>459</v>
      </c>
      <c r="D426" s="82" t="s">
        <v>218</v>
      </c>
      <c r="E426" s="82" t="s">
        <v>219</v>
      </c>
    </row>
    <row r="427" spans="1:5" x14ac:dyDescent="0.2">
      <c r="A427" s="82" t="s">
        <v>220</v>
      </c>
      <c r="B427" s="83">
        <v>45697.291666666664</v>
      </c>
      <c r="C427" s="82" t="s">
        <v>475</v>
      </c>
      <c r="D427" s="85"/>
      <c r="E427" s="82" t="s">
        <v>222</v>
      </c>
    </row>
    <row r="428" spans="1:5" ht="28" x14ac:dyDescent="0.2">
      <c r="A428" s="82" t="s">
        <v>223</v>
      </c>
      <c r="B428" s="83">
        <v>45697.291666666664</v>
      </c>
      <c r="C428" s="82" t="s">
        <v>435</v>
      </c>
      <c r="D428" s="82" t="s">
        <v>183</v>
      </c>
      <c r="E428" s="82" t="s">
        <v>219</v>
      </c>
    </row>
    <row r="429" spans="1:5" x14ac:dyDescent="0.2">
      <c r="A429" s="82" t="s">
        <v>225</v>
      </c>
      <c r="B429" s="83">
        <v>45697.291666666664</v>
      </c>
      <c r="C429" s="82">
        <v>526</v>
      </c>
      <c r="D429" s="82">
        <v>4</v>
      </c>
      <c r="E429" s="82" t="s">
        <v>195</v>
      </c>
    </row>
    <row r="430" spans="1:5" ht="42" x14ac:dyDescent="0.2">
      <c r="A430" s="82" t="s">
        <v>226</v>
      </c>
      <c r="B430" s="83">
        <v>45697.291666666664</v>
      </c>
      <c r="C430" s="82" t="s">
        <v>476</v>
      </c>
      <c r="D430" s="85"/>
      <c r="E430" s="82" t="s">
        <v>227</v>
      </c>
    </row>
    <row r="431" spans="1:5" ht="56" x14ac:dyDescent="0.2">
      <c r="A431" s="82" t="s">
        <v>228</v>
      </c>
      <c r="B431" s="83">
        <v>45697.291666666664</v>
      </c>
      <c r="C431" s="82" t="s">
        <v>251</v>
      </c>
      <c r="D431" s="85"/>
      <c r="E431" s="82" t="s">
        <v>227</v>
      </c>
    </row>
    <row r="432" spans="1:5" ht="28" x14ac:dyDescent="0.2">
      <c r="A432" s="82" t="s">
        <v>352</v>
      </c>
      <c r="B432" s="83">
        <v>45700.291666666664</v>
      </c>
      <c r="C432" s="82">
        <v>399</v>
      </c>
      <c r="D432" s="82">
        <v>50</v>
      </c>
      <c r="E432" s="82" t="s">
        <v>353</v>
      </c>
    </row>
    <row r="433" spans="1:5" x14ac:dyDescent="0.2">
      <c r="A433" s="82" t="s">
        <v>354</v>
      </c>
      <c r="B433" s="83">
        <v>45700.291666666664</v>
      </c>
      <c r="C433" s="82">
        <v>265</v>
      </c>
      <c r="D433" s="82">
        <v>20</v>
      </c>
      <c r="E433" s="82" t="s">
        <v>351</v>
      </c>
    </row>
    <row r="434" spans="1:5" x14ac:dyDescent="0.2">
      <c r="A434" s="82" t="s">
        <v>354</v>
      </c>
      <c r="B434" s="83">
        <v>45700.291666666664</v>
      </c>
      <c r="C434" s="82">
        <v>1</v>
      </c>
      <c r="D434" s="85"/>
      <c r="E434" s="82" t="s">
        <v>197</v>
      </c>
    </row>
    <row r="435" spans="1:5" x14ac:dyDescent="0.2">
      <c r="A435" s="82" t="s">
        <v>181</v>
      </c>
      <c r="B435" s="83">
        <v>45700.291666666664</v>
      </c>
      <c r="C435" s="82" t="s">
        <v>456</v>
      </c>
      <c r="D435" s="82" t="s">
        <v>183</v>
      </c>
      <c r="E435" s="82" t="s">
        <v>184</v>
      </c>
    </row>
    <row r="436" spans="1:5" ht="28" x14ac:dyDescent="0.2">
      <c r="A436" s="82" t="s">
        <v>185</v>
      </c>
      <c r="B436" s="83">
        <v>45700.291666666664</v>
      </c>
      <c r="C436" s="82" t="s">
        <v>364</v>
      </c>
      <c r="D436" s="82" t="s">
        <v>186</v>
      </c>
      <c r="E436" s="82" t="s">
        <v>187</v>
      </c>
    </row>
    <row r="437" spans="1:5" x14ac:dyDescent="0.2">
      <c r="A437" s="82" t="s">
        <v>359</v>
      </c>
      <c r="B437" s="83">
        <v>45700.291666666664</v>
      </c>
      <c r="C437" s="82" t="s">
        <v>360</v>
      </c>
      <c r="D437" s="82" t="s">
        <v>233</v>
      </c>
      <c r="E437" s="82" t="s">
        <v>199</v>
      </c>
    </row>
    <row r="438" spans="1:5" x14ac:dyDescent="0.2">
      <c r="A438" s="82" t="s">
        <v>361</v>
      </c>
      <c r="B438" s="83">
        <v>45700.291666666664</v>
      </c>
      <c r="C438" s="82" t="s">
        <v>362</v>
      </c>
      <c r="D438" s="82" t="s">
        <v>363</v>
      </c>
      <c r="E438" s="82" t="s">
        <v>351</v>
      </c>
    </row>
    <row r="439" spans="1:5" x14ac:dyDescent="0.2">
      <c r="A439" s="82" t="s">
        <v>361</v>
      </c>
      <c r="B439" s="83">
        <v>45700.291666666664</v>
      </c>
      <c r="C439" s="82">
        <v>1</v>
      </c>
      <c r="D439" s="85"/>
      <c r="E439" s="82" t="s">
        <v>197</v>
      </c>
    </row>
    <row r="440" spans="1:5" ht="28" x14ac:dyDescent="0.2">
      <c r="A440" s="82" t="s">
        <v>188</v>
      </c>
      <c r="B440" s="83">
        <v>45700.291666666664</v>
      </c>
      <c r="C440" s="82" t="s">
        <v>477</v>
      </c>
      <c r="D440" s="82" t="s">
        <v>190</v>
      </c>
      <c r="E440" s="82" t="s">
        <v>184</v>
      </c>
    </row>
    <row r="441" spans="1:5" x14ac:dyDescent="0.2">
      <c r="A441" s="82" t="s">
        <v>371</v>
      </c>
      <c r="B441" s="83">
        <v>45700.291666666664</v>
      </c>
      <c r="C441" s="82" t="s">
        <v>218</v>
      </c>
      <c r="D441" s="82" t="s">
        <v>218</v>
      </c>
      <c r="E441" s="82" t="s">
        <v>351</v>
      </c>
    </row>
    <row r="442" spans="1:5" x14ac:dyDescent="0.2">
      <c r="A442" s="82" t="s">
        <v>371</v>
      </c>
      <c r="B442" s="83">
        <v>45700.291666666664</v>
      </c>
      <c r="C442" s="82">
        <v>1</v>
      </c>
      <c r="D442" s="85"/>
      <c r="E442" s="82" t="s">
        <v>197</v>
      </c>
    </row>
    <row r="443" spans="1:5" x14ac:dyDescent="0.2">
      <c r="A443" s="82" t="s">
        <v>376</v>
      </c>
      <c r="B443" s="83">
        <v>45700.291666666664</v>
      </c>
      <c r="C443" s="82" t="s">
        <v>377</v>
      </c>
      <c r="D443" s="82">
        <v>5</v>
      </c>
      <c r="E443" s="82" t="s">
        <v>351</v>
      </c>
    </row>
    <row r="444" spans="1:5" x14ac:dyDescent="0.2">
      <c r="A444" s="82" t="s">
        <v>376</v>
      </c>
      <c r="B444" s="83">
        <v>45700.291666666664</v>
      </c>
      <c r="C444" s="82">
        <v>1</v>
      </c>
      <c r="D444" s="85"/>
      <c r="E444" s="82" t="s">
        <v>197</v>
      </c>
    </row>
    <row r="445" spans="1:5" x14ac:dyDescent="0.2">
      <c r="A445" s="82" t="s">
        <v>379</v>
      </c>
      <c r="B445" s="83">
        <v>45700.291666666664</v>
      </c>
      <c r="C445" s="82" t="s">
        <v>380</v>
      </c>
      <c r="D445" s="82" t="s">
        <v>194</v>
      </c>
      <c r="E445" s="82" t="s">
        <v>351</v>
      </c>
    </row>
    <row r="446" spans="1:5" x14ac:dyDescent="0.2">
      <c r="A446" s="82" t="s">
        <v>379</v>
      </c>
      <c r="B446" s="83">
        <v>45700.291666666664</v>
      </c>
      <c r="C446" s="82">
        <v>1</v>
      </c>
      <c r="D446" s="85"/>
      <c r="E446" s="82" t="s">
        <v>197</v>
      </c>
    </row>
    <row r="447" spans="1:5" ht="28" x14ac:dyDescent="0.2">
      <c r="A447" s="82" t="s">
        <v>191</v>
      </c>
      <c r="B447" s="83">
        <v>45700.291666666664</v>
      </c>
      <c r="C447" s="82">
        <v>135</v>
      </c>
      <c r="D447" s="82">
        <v>6</v>
      </c>
      <c r="E447" s="82" t="s">
        <v>192</v>
      </c>
    </row>
    <row r="448" spans="1:5" x14ac:dyDescent="0.2">
      <c r="A448" s="82" t="s">
        <v>381</v>
      </c>
      <c r="B448" s="83">
        <v>45700.291666666664</v>
      </c>
      <c r="C448" s="82" t="s">
        <v>478</v>
      </c>
      <c r="D448" s="82">
        <v>5</v>
      </c>
      <c r="E448" s="82" t="s">
        <v>351</v>
      </c>
    </row>
    <row r="449" spans="1:5" x14ac:dyDescent="0.2">
      <c r="A449" s="82" t="s">
        <v>381</v>
      </c>
      <c r="B449" s="83">
        <v>45700.291666666664</v>
      </c>
      <c r="C449" s="82">
        <v>1</v>
      </c>
      <c r="D449" s="85"/>
      <c r="E449" s="82" t="s">
        <v>197</v>
      </c>
    </row>
    <row r="450" spans="1:5" x14ac:dyDescent="0.2">
      <c r="A450" s="82" t="s">
        <v>193</v>
      </c>
      <c r="B450" s="83">
        <v>45700.291666666664</v>
      </c>
      <c r="C450" s="82">
        <v>132</v>
      </c>
      <c r="D450" s="82" t="s">
        <v>194</v>
      </c>
      <c r="E450" s="82" t="s">
        <v>195</v>
      </c>
    </row>
    <row r="451" spans="1:5" x14ac:dyDescent="0.2">
      <c r="A451" s="82" t="s">
        <v>384</v>
      </c>
      <c r="B451" s="83">
        <v>45700.291666666664</v>
      </c>
      <c r="C451" s="82" t="s">
        <v>377</v>
      </c>
      <c r="D451" s="82">
        <v>5</v>
      </c>
      <c r="E451" s="82" t="s">
        <v>351</v>
      </c>
    </row>
    <row r="452" spans="1:5" x14ac:dyDescent="0.2">
      <c r="A452" s="82" t="s">
        <v>384</v>
      </c>
      <c r="B452" s="83">
        <v>45700.291666666664</v>
      </c>
      <c r="C452" s="82">
        <v>1</v>
      </c>
      <c r="D452" s="85"/>
      <c r="E452" s="82" t="s">
        <v>197</v>
      </c>
    </row>
    <row r="453" spans="1:5" x14ac:dyDescent="0.2">
      <c r="A453" s="82" t="s">
        <v>385</v>
      </c>
      <c r="B453" s="83">
        <v>45700.291666666664</v>
      </c>
      <c r="C453" s="82" t="s">
        <v>314</v>
      </c>
      <c r="D453" s="82" t="s">
        <v>386</v>
      </c>
      <c r="E453" s="82" t="s">
        <v>199</v>
      </c>
    </row>
    <row r="454" spans="1:5" ht="28" x14ac:dyDescent="0.2">
      <c r="A454" s="82" t="s">
        <v>196</v>
      </c>
      <c r="B454" s="83">
        <v>45700.291666666664</v>
      </c>
      <c r="C454" s="84">
        <v>0.4236111111111111</v>
      </c>
      <c r="D454" s="85"/>
      <c r="E454" s="82" t="s">
        <v>197</v>
      </c>
    </row>
    <row r="455" spans="1:5" x14ac:dyDescent="0.2">
      <c r="A455" s="82" t="s">
        <v>394</v>
      </c>
      <c r="B455" s="83">
        <v>45700.291666666664</v>
      </c>
      <c r="C455" s="82" t="s">
        <v>210</v>
      </c>
      <c r="D455" s="82" t="s">
        <v>395</v>
      </c>
      <c r="E455" s="82" t="s">
        <v>199</v>
      </c>
    </row>
    <row r="456" spans="1:5" ht="28" x14ac:dyDescent="0.2">
      <c r="A456" s="82" t="s">
        <v>198</v>
      </c>
      <c r="B456" s="83">
        <v>45700.291666666664</v>
      </c>
      <c r="C456" s="82">
        <v>226</v>
      </c>
      <c r="D456" s="82">
        <v>2</v>
      </c>
      <c r="E456" s="82" t="s">
        <v>199</v>
      </c>
    </row>
    <row r="457" spans="1:5" x14ac:dyDescent="0.2">
      <c r="A457" s="82" t="s">
        <v>396</v>
      </c>
      <c r="B457" s="83">
        <v>45700.291666666664</v>
      </c>
      <c r="C457" s="82">
        <v>1</v>
      </c>
      <c r="D457" s="85"/>
      <c r="E457" s="82" t="s">
        <v>197</v>
      </c>
    </row>
    <row r="458" spans="1:5" x14ac:dyDescent="0.2">
      <c r="A458" s="82" t="s">
        <v>396</v>
      </c>
      <c r="B458" s="83">
        <v>45700.291666666664</v>
      </c>
      <c r="C458" s="82" t="s">
        <v>468</v>
      </c>
      <c r="D458" s="82" t="s">
        <v>372</v>
      </c>
      <c r="E458" s="82" t="s">
        <v>351</v>
      </c>
    </row>
    <row r="459" spans="1:5" x14ac:dyDescent="0.2">
      <c r="A459" s="82" t="s">
        <v>200</v>
      </c>
      <c r="B459" s="83">
        <v>45700.291666666664</v>
      </c>
      <c r="C459" s="82" t="s">
        <v>232</v>
      </c>
      <c r="D459" s="82" t="s">
        <v>201</v>
      </c>
      <c r="E459" s="82" t="s">
        <v>184</v>
      </c>
    </row>
    <row r="460" spans="1:5" x14ac:dyDescent="0.2">
      <c r="A460" s="82" t="s">
        <v>400</v>
      </c>
      <c r="B460" s="83">
        <v>45700.291666666664</v>
      </c>
      <c r="C460" s="82" t="s">
        <v>377</v>
      </c>
      <c r="D460" s="82">
        <v>5</v>
      </c>
      <c r="E460" s="82" t="s">
        <v>351</v>
      </c>
    </row>
    <row r="461" spans="1:5" x14ac:dyDescent="0.2">
      <c r="A461" s="82" t="s">
        <v>400</v>
      </c>
      <c r="B461" s="83">
        <v>45700.291666666664</v>
      </c>
      <c r="C461" s="82">
        <v>1</v>
      </c>
      <c r="D461" s="85"/>
      <c r="E461" s="82" t="s">
        <v>197</v>
      </c>
    </row>
    <row r="462" spans="1:5" x14ac:dyDescent="0.2">
      <c r="A462" s="82" t="s">
        <v>202</v>
      </c>
      <c r="B462" s="83">
        <v>45700.291666666664</v>
      </c>
      <c r="C462" s="82" t="s">
        <v>479</v>
      </c>
      <c r="D462" s="82" t="s">
        <v>204</v>
      </c>
      <c r="E462" s="82" t="s">
        <v>184</v>
      </c>
    </row>
    <row r="463" spans="1:5" ht="28" x14ac:dyDescent="0.2">
      <c r="A463" s="82" t="s">
        <v>205</v>
      </c>
      <c r="B463" s="83">
        <v>45700.291666666664</v>
      </c>
      <c r="C463" s="82" t="s">
        <v>480</v>
      </c>
      <c r="D463" s="82" t="s">
        <v>207</v>
      </c>
      <c r="E463" s="82" t="s">
        <v>208</v>
      </c>
    </row>
    <row r="464" spans="1:5" x14ac:dyDescent="0.2">
      <c r="A464" s="82" t="s">
        <v>209</v>
      </c>
      <c r="B464" s="83">
        <v>45700.291666666664</v>
      </c>
      <c r="C464" s="82" t="s">
        <v>481</v>
      </c>
      <c r="D464" s="82" t="s">
        <v>211</v>
      </c>
      <c r="E464" s="82" t="s">
        <v>184</v>
      </c>
    </row>
    <row r="465" spans="1:5" ht="28" x14ac:dyDescent="0.2">
      <c r="A465" s="82" t="s">
        <v>212</v>
      </c>
      <c r="B465" s="83">
        <v>45700.291666666664</v>
      </c>
      <c r="C465" s="82" t="s">
        <v>482</v>
      </c>
      <c r="D465" s="82" t="s">
        <v>214</v>
      </c>
      <c r="E465" s="82" t="s">
        <v>215</v>
      </c>
    </row>
    <row r="466" spans="1:5" ht="28" x14ac:dyDescent="0.2">
      <c r="A466" s="82" t="s">
        <v>216</v>
      </c>
      <c r="B466" s="83">
        <v>45700.291666666664</v>
      </c>
      <c r="C466" s="82" t="s">
        <v>258</v>
      </c>
      <c r="D466" s="82" t="s">
        <v>218</v>
      </c>
      <c r="E466" s="82" t="s">
        <v>219</v>
      </c>
    </row>
    <row r="467" spans="1:5" x14ac:dyDescent="0.2">
      <c r="A467" s="82" t="s">
        <v>220</v>
      </c>
      <c r="B467" s="83">
        <v>45700.291666666664</v>
      </c>
      <c r="C467" s="82" t="s">
        <v>483</v>
      </c>
      <c r="D467" s="85"/>
      <c r="E467" s="82" t="s">
        <v>222</v>
      </c>
    </row>
    <row r="468" spans="1:5" ht="28" x14ac:dyDescent="0.2">
      <c r="A468" s="82" t="s">
        <v>223</v>
      </c>
      <c r="B468" s="83">
        <v>45700.291666666664</v>
      </c>
      <c r="C468" s="82" t="s">
        <v>224</v>
      </c>
      <c r="D468" s="82" t="s">
        <v>183</v>
      </c>
      <c r="E468" s="82" t="s">
        <v>219</v>
      </c>
    </row>
    <row r="469" spans="1:5" x14ac:dyDescent="0.2">
      <c r="A469" s="82" t="s">
        <v>412</v>
      </c>
      <c r="B469" s="83">
        <v>45700.291666666664</v>
      </c>
      <c r="C469" s="82" t="s">
        <v>484</v>
      </c>
      <c r="D469" s="82">
        <v>2</v>
      </c>
      <c r="E469" s="82" t="s">
        <v>351</v>
      </c>
    </row>
    <row r="470" spans="1:5" x14ac:dyDescent="0.2">
      <c r="A470" s="82" t="s">
        <v>412</v>
      </c>
      <c r="B470" s="83">
        <v>45700.291666666664</v>
      </c>
      <c r="C470" s="82">
        <v>1</v>
      </c>
      <c r="D470" s="85"/>
      <c r="E470" s="82" t="s">
        <v>197</v>
      </c>
    </row>
    <row r="471" spans="1:5" x14ac:dyDescent="0.2">
      <c r="A471" s="82" t="s">
        <v>225</v>
      </c>
      <c r="B471" s="83">
        <v>45700.291666666664</v>
      </c>
      <c r="C471" s="82">
        <v>469</v>
      </c>
      <c r="D471" s="82">
        <v>4</v>
      </c>
      <c r="E471" s="82" t="s">
        <v>195</v>
      </c>
    </row>
    <row r="472" spans="1:5" ht="42" x14ac:dyDescent="0.2">
      <c r="A472" s="82" t="s">
        <v>226</v>
      </c>
      <c r="B472" s="83">
        <v>45700.291666666664</v>
      </c>
      <c r="C472" s="82">
        <v>15</v>
      </c>
      <c r="D472" s="85"/>
      <c r="E472" s="82" t="s">
        <v>227</v>
      </c>
    </row>
    <row r="473" spans="1:5" ht="56" x14ac:dyDescent="0.2">
      <c r="A473" s="82" t="s">
        <v>228</v>
      </c>
      <c r="B473" s="83">
        <v>45700.291666666664</v>
      </c>
      <c r="C473" s="82" t="s">
        <v>485</v>
      </c>
      <c r="D473" s="85"/>
      <c r="E473" s="82" t="s">
        <v>227</v>
      </c>
    </row>
    <row r="474" spans="1:5" x14ac:dyDescent="0.2">
      <c r="A474" s="82" t="s">
        <v>427</v>
      </c>
      <c r="B474" s="83">
        <v>45700.291666666664</v>
      </c>
      <c r="C474" s="82">
        <v>204</v>
      </c>
      <c r="D474" s="82" t="s">
        <v>428</v>
      </c>
      <c r="E474" s="82" t="s">
        <v>351</v>
      </c>
    </row>
    <row r="475" spans="1:5" x14ac:dyDescent="0.2">
      <c r="A475" s="82" t="s">
        <v>427</v>
      </c>
      <c r="B475" s="83">
        <v>45700.291666666664</v>
      </c>
      <c r="C475" s="82">
        <v>1</v>
      </c>
      <c r="D475" s="85"/>
      <c r="E475" s="82" t="s">
        <v>197</v>
      </c>
    </row>
    <row r="476" spans="1:5" x14ac:dyDescent="0.2">
      <c r="A476" s="82" t="s">
        <v>181</v>
      </c>
      <c r="B476" s="83">
        <v>45704.291666666664</v>
      </c>
      <c r="C476" s="82" t="s">
        <v>486</v>
      </c>
      <c r="D476" s="82" t="s">
        <v>183</v>
      </c>
      <c r="E476" s="82" t="s">
        <v>184</v>
      </c>
    </row>
    <row r="477" spans="1:5" ht="28" x14ac:dyDescent="0.2">
      <c r="A477" s="82" t="s">
        <v>185</v>
      </c>
      <c r="B477" s="83">
        <v>45704.291666666664</v>
      </c>
      <c r="C477" s="82" t="s">
        <v>487</v>
      </c>
      <c r="D477" s="82" t="s">
        <v>186</v>
      </c>
      <c r="E477" s="82" t="s">
        <v>187</v>
      </c>
    </row>
    <row r="478" spans="1:5" ht="28" x14ac:dyDescent="0.2">
      <c r="A478" s="82" t="s">
        <v>188</v>
      </c>
      <c r="B478" s="83">
        <v>45704.291666666664</v>
      </c>
      <c r="C478" s="82" t="s">
        <v>230</v>
      </c>
      <c r="D478" s="82" t="s">
        <v>190</v>
      </c>
      <c r="E478" s="82" t="s">
        <v>184</v>
      </c>
    </row>
    <row r="479" spans="1:5" x14ac:dyDescent="0.2">
      <c r="A479" s="82" t="s">
        <v>193</v>
      </c>
      <c r="B479" s="83">
        <v>45704.291666666664</v>
      </c>
      <c r="C479" s="82">
        <v>183</v>
      </c>
      <c r="D479" s="82" t="s">
        <v>194</v>
      </c>
      <c r="E479" s="82" t="s">
        <v>195</v>
      </c>
    </row>
    <row r="480" spans="1:5" ht="42" x14ac:dyDescent="0.2">
      <c r="A480" s="82" t="s">
        <v>266</v>
      </c>
      <c r="B480" s="83">
        <v>45704.291666666664</v>
      </c>
      <c r="C480" s="82">
        <v>2100000</v>
      </c>
      <c r="D480" s="82">
        <v>3800</v>
      </c>
      <c r="E480" s="82" t="s">
        <v>267</v>
      </c>
    </row>
    <row r="481" spans="1:5" ht="28" x14ac:dyDescent="0.2">
      <c r="A481" s="82" t="s">
        <v>268</v>
      </c>
      <c r="B481" s="83">
        <v>45704.291666666664</v>
      </c>
      <c r="C481" s="82">
        <v>4520000</v>
      </c>
      <c r="D481" s="82">
        <v>3800</v>
      </c>
      <c r="E481" s="82" t="s">
        <v>267</v>
      </c>
    </row>
    <row r="482" spans="1:5" ht="28" x14ac:dyDescent="0.2">
      <c r="A482" s="82" t="s">
        <v>196</v>
      </c>
      <c r="B482" s="83">
        <v>45704.291666666664</v>
      </c>
      <c r="C482" s="84">
        <v>0.4236111111111111</v>
      </c>
      <c r="D482" s="85"/>
      <c r="E482" s="82" t="s">
        <v>197</v>
      </c>
    </row>
    <row r="483" spans="1:5" ht="28" x14ac:dyDescent="0.2">
      <c r="A483" s="82" t="s">
        <v>198</v>
      </c>
      <c r="B483" s="83">
        <v>45704.291666666664</v>
      </c>
      <c r="C483" s="82">
        <v>200</v>
      </c>
      <c r="D483" s="82">
        <v>2</v>
      </c>
      <c r="E483" s="82" t="s">
        <v>199</v>
      </c>
    </row>
    <row r="484" spans="1:5" x14ac:dyDescent="0.2">
      <c r="A484" s="82" t="s">
        <v>200</v>
      </c>
      <c r="B484" s="83">
        <v>45704.291666666664</v>
      </c>
      <c r="C484" s="82" t="s">
        <v>255</v>
      </c>
      <c r="D484" s="82" t="s">
        <v>201</v>
      </c>
      <c r="E484" s="82" t="s">
        <v>184</v>
      </c>
    </row>
    <row r="485" spans="1:5" x14ac:dyDescent="0.2">
      <c r="A485" s="82" t="s">
        <v>202</v>
      </c>
      <c r="B485" s="83">
        <v>45704.291666666664</v>
      </c>
      <c r="C485" s="82" t="s">
        <v>203</v>
      </c>
      <c r="D485" s="82" t="s">
        <v>204</v>
      </c>
      <c r="E485" s="82" t="s">
        <v>184</v>
      </c>
    </row>
    <row r="486" spans="1:5" ht="28" x14ac:dyDescent="0.2">
      <c r="A486" s="82" t="s">
        <v>205</v>
      </c>
      <c r="B486" s="83">
        <v>45704.291666666664</v>
      </c>
      <c r="C486" s="82" t="s">
        <v>206</v>
      </c>
      <c r="D486" s="82" t="s">
        <v>207</v>
      </c>
      <c r="E486" s="82" t="s">
        <v>208</v>
      </c>
    </row>
    <row r="487" spans="1:5" x14ac:dyDescent="0.2">
      <c r="A487" s="82" t="s">
        <v>209</v>
      </c>
      <c r="B487" s="83">
        <v>45704.291666666664</v>
      </c>
      <c r="C487" s="82" t="s">
        <v>488</v>
      </c>
      <c r="D487" s="82" t="s">
        <v>211</v>
      </c>
      <c r="E487" s="82" t="s">
        <v>184</v>
      </c>
    </row>
    <row r="488" spans="1:5" ht="28" x14ac:dyDescent="0.2">
      <c r="A488" s="82" t="s">
        <v>212</v>
      </c>
      <c r="B488" s="83">
        <v>45704.291666666664</v>
      </c>
      <c r="C488" s="82" t="s">
        <v>451</v>
      </c>
      <c r="D488" s="82" t="s">
        <v>214</v>
      </c>
      <c r="E488" s="82" t="s">
        <v>215</v>
      </c>
    </row>
    <row r="489" spans="1:5" ht="28" x14ac:dyDescent="0.2">
      <c r="A489" s="82" t="s">
        <v>216</v>
      </c>
      <c r="B489" s="83">
        <v>45704.291666666664</v>
      </c>
      <c r="C489" s="82" t="s">
        <v>246</v>
      </c>
      <c r="D489" s="82" t="s">
        <v>218</v>
      </c>
      <c r="E489" s="82" t="s">
        <v>219</v>
      </c>
    </row>
    <row r="490" spans="1:5" x14ac:dyDescent="0.2">
      <c r="A490" s="82" t="s">
        <v>220</v>
      </c>
      <c r="B490" s="83">
        <v>45704.291666666664</v>
      </c>
      <c r="C490" s="82" t="s">
        <v>236</v>
      </c>
      <c r="D490" s="85"/>
      <c r="E490" s="82" t="s">
        <v>222</v>
      </c>
    </row>
    <row r="491" spans="1:5" ht="28" x14ac:dyDescent="0.2">
      <c r="A491" s="82" t="s">
        <v>223</v>
      </c>
      <c r="B491" s="83">
        <v>45704.291666666664</v>
      </c>
      <c r="C491" s="82" t="s">
        <v>309</v>
      </c>
      <c r="D491" s="82" t="s">
        <v>183</v>
      </c>
      <c r="E491" s="82" t="s">
        <v>219</v>
      </c>
    </row>
    <row r="492" spans="1:5" ht="84" x14ac:dyDescent="0.2">
      <c r="A492" s="82" t="s">
        <v>274</v>
      </c>
      <c r="B492" s="83">
        <v>45704.291666666664</v>
      </c>
      <c r="C492" s="82">
        <v>77000</v>
      </c>
      <c r="D492" s="82">
        <v>1000</v>
      </c>
      <c r="E492" s="82" t="s">
        <v>275</v>
      </c>
    </row>
    <row r="493" spans="1:5" x14ac:dyDescent="0.2">
      <c r="A493" s="82" t="s">
        <v>225</v>
      </c>
      <c r="B493" s="83">
        <v>45704.291666666664</v>
      </c>
      <c r="C493" s="82">
        <v>488</v>
      </c>
      <c r="D493" s="82">
        <v>4</v>
      </c>
      <c r="E493" s="82" t="s">
        <v>195</v>
      </c>
    </row>
    <row r="494" spans="1:5" ht="42" x14ac:dyDescent="0.2">
      <c r="A494" s="82" t="s">
        <v>226</v>
      </c>
      <c r="B494" s="83">
        <v>45704.291666666664</v>
      </c>
      <c r="C494" s="82" t="s">
        <v>489</v>
      </c>
      <c r="D494" s="85"/>
      <c r="E494" s="82" t="s">
        <v>227</v>
      </c>
    </row>
    <row r="495" spans="1:5" ht="56" x14ac:dyDescent="0.2">
      <c r="A495" s="82" t="s">
        <v>228</v>
      </c>
      <c r="B495" s="83">
        <v>45704.291666666664</v>
      </c>
      <c r="C495" s="82" t="s">
        <v>490</v>
      </c>
      <c r="D495" s="85"/>
      <c r="E495" s="82" t="s">
        <v>227</v>
      </c>
    </row>
    <row r="496" spans="1:5" x14ac:dyDescent="0.2">
      <c r="A496" s="82" t="s">
        <v>181</v>
      </c>
      <c r="B496" s="83">
        <v>45707.291666666664</v>
      </c>
      <c r="C496" s="82">
        <v>35</v>
      </c>
      <c r="D496" s="82" t="s">
        <v>183</v>
      </c>
      <c r="E496" s="82" t="s">
        <v>184</v>
      </c>
    </row>
    <row r="497" spans="1:5" ht="28" x14ac:dyDescent="0.2">
      <c r="A497" s="82" t="s">
        <v>185</v>
      </c>
      <c r="B497" s="83">
        <v>45707.291666666664</v>
      </c>
      <c r="C497" s="82">
        <v>45</v>
      </c>
      <c r="D497" s="82" t="s">
        <v>186</v>
      </c>
      <c r="E497" s="82" t="s">
        <v>187</v>
      </c>
    </row>
    <row r="498" spans="1:5" ht="28" x14ac:dyDescent="0.2">
      <c r="A498" s="82" t="s">
        <v>188</v>
      </c>
      <c r="B498" s="83">
        <v>45707.291666666664</v>
      </c>
      <c r="C498" s="82">
        <v>51</v>
      </c>
      <c r="D498" s="82" t="s">
        <v>190</v>
      </c>
      <c r="E498" s="82" t="s">
        <v>184</v>
      </c>
    </row>
    <row r="499" spans="1:5" x14ac:dyDescent="0.2">
      <c r="A499" s="82" t="s">
        <v>193</v>
      </c>
      <c r="B499" s="83">
        <v>45707.291666666664</v>
      </c>
      <c r="C499" s="82">
        <v>206</v>
      </c>
      <c r="D499" s="82" t="s">
        <v>194</v>
      </c>
      <c r="E499" s="82" t="s">
        <v>195</v>
      </c>
    </row>
    <row r="500" spans="1:5" ht="28" x14ac:dyDescent="0.2">
      <c r="A500" s="82" t="s">
        <v>196</v>
      </c>
      <c r="B500" s="83">
        <v>45707.291666666664</v>
      </c>
      <c r="C500" s="84">
        <v>0.3888888888888889</v>
      </c>
      <c r="D500" s="85"/>
      <c r="E500" s="82" t="s">
        <v>197</v>
      </c>
    </row>
    <row r="501" spans="1:5" ht="28" x14ac:dyDescent="0.2">
      <c r="A501" s="82" t="s">
        <v>198</v>
      </c>
      <c r="B501" s="83">
        <v>45707.291666666664</v>
      </c>
      <c r="C501" s="82">
        <v>233</v>
      </c>
      <c r="D501" s="82">
        <v>2</v>
      </c>
      <c r="E501" s="82" t="s">
        <v>199</v>
      </c>
    </row>
    <row r="502" spans="1:5" x14ac:dyDescent="0.2">
      <c r="A502" s="82" t="s">
        <v>200</v>
      </c>
      <c r="B502" s="83">
        <v>45707.291666666664</v>
      </c>
      <c r="C502" s="82" t="s">
        <v>491</v>
      </c>
      <c r="D502" s="82" t="s">
        <v>201</v>
      </c>
      <c r="E502" s="82" t="s">
        <v>184</v>
      </c>
    </row>
    <row r="503" spans="1:5" x14ac:dyDescent="0.2">
      <c r="A503" s="82" t="s">
        <v>202</v>
      </c>
      <c r="B503" s="83">
        <v>45707.291666666664</v>
      </c>
      <c r="C503" s="82" t="s">
        <v>203</v>
      </c>
      <c r="D503" s="82" t="s">
        <v>204</v>
      </c>
      <c r="E503" s="82" t="s">
        <v>184</v>
      </c>
    </row>
    <row r="504" spans="1:5" ht="28" x14ac:dyDescent="0.2">
      <c r="A504" s="82" t="s">
        <v>205</v>
      </c>
      <c r="B504" s="83">
        <v>45707.291666666664</v>
      </c>
      <c r="C504" s="82" t="s">
        <v>206</v>
      </c>
      <c r="D504" s="82" t="s">
        <v>207</v>
      </c>
      <c r="E504" s="82" t="s">
        <v>208</v>
      </c>
    </row>
    <row r="505" spans="1:5" x14ac:dyDescent="0.2">
      <c r="A505" s="82" t="s">
        <v>209</v>
      </c>
      <c r="B505" s="83">
        <v>45707.291666666664</v>
      </c>
      <c r="C505" s="82" t="s">
        <v>492</v>
      </c>
      <c r="D505" s="82" t="s">
        <v>211</v>
      </c>
      <c r="E505" s="82" t="s">
        <v>184</v>
      </c>
    </row>
    <row r="506" spans="1:5" ht="28" x14ac:dyDescent="0.2">
      <c r="A506" s="82" t="s">
        <v>212</v>
      </c>
      <c r="B506" s="83">
        <v>45707.291666666664</v>
      </c>
      <c r="C506" s="82" t="s">
        <v>322</v>
      </c>
      <c r="D506" s="82" t="s">
        <v>214</v>
      </c>
      <c r="E506" s="82" t="s">
        <v>215</v>
      </c>
    </row>
    <row r="507" spans="1:5" ht="28" x14ac:dyDescent="0.2">
      <c r="A507" s="82" t="s">
        <v>216</v>
      </c>
      <c r="B507" s="83">
        <v>45707.291666666664</v>
      </c>
      <c r="C507" s="82" t="s">
        <v>258</v>
      </c>
      <c r="D507" s="82" t="s">
        <v>218</v>
      </c>
      <c r="E507" s="82" t="s">
        <v>219</v>
      </c>
    </row>
    <row r="508" spans="1:5" x14ac:dyDescent="0.2">
      <c r="A508" s="82" t="s">
        <v>220</v>
      </c>
      <c r="B508" s="83">
        <v>45707.291666666664</v>
      </c>
      <c r="C508" s="82" t="s">
        <v>493</v>
      </c>
      <c r="D508" s="85"/>
      <c r="E508" s="82" t="s">
        <v>222</v>
      </c>
    </row>
    <row r="509" spans="1:5" ht="28" x14ac:dyDescent="0.2">
      <c r="A509" s="82" t="s">
        <v>223</v>
      </c>
      <c r="B509" s="83">
        <v>45707.291666666664</v>
      </c>
      <c r="C509" s="82" t="s">
        <v>494</v>
      </c>
      <c r="D509" s="82" t="s">
        <v>183</v>
      </c>
      <c r="E509" s="82" t="s">
        <v>219</v>
      </c>
    </row>
    <row r="510" spans="1:5" x14ac:dyDescent="0.2">
      <c r="A510" s="82" t="s">
        <v>225</v>
      </c>
      <c r="B510" s="83">
        <v>45707.291666666664</v>
      </c>
      <c r="C510" s="82">
        <v>502</v>
      </c>
      <c r="D510" s="82">
        <v>4</v>
      </c>
      <c r="E510" s="82" t="s">
        <v>195</v>
      </c>
    </row>
    <row r="511" spans="1:5" ht="42" x14ac:dyDescent="0.2">
      <c r="A511" s="82" t="s">
        <v>226</v>
      </c>
      <c r="B511" s="83">
        <v>45707.291666666664</v>
      </c>
      <c r="C511" s="82" t="s">
        <v>495</v>
      </c>
      <c r="D511" s="85"/>
      <c r="E511" s="82" t="s">
        <v>227</v>
      </c>
    </row>
    <row r="512" spans="1:5" ht="56" x14ac:dyDescent="0.2">
      <c r="A512" s="82" t="s">
        <v>228</v>
      </c>
      <c r="B512" s="83">
        <v>45707.291666666664</v>
      </c>
      <c r="C512" s="82" t="s">
        <v>251</v>
      </c>
      <c r="D512" s="85"/>
      <c r="E512" s="82" t="s">
        <v>227</v>
      </c>
    </row>
    <row r="513" spans="1:5" x14ac:dyDescent="0.2">
      <c r="A513" s="82" t="s">
        <v>181</v>
      </c>
      <c r="B513" s="83">
        <v>45711.291666666664</v>
      </c>
      <c r="C513" s="82" t="s">
        <v>429</v>
      </c>
      <c r="D513" s="82" t="s">
        <v>183</v>
      </c>
      <c r="E513" s="82" t="s">
        <v>184</v>
      </c>
    </row>
    <row r="514" spans="1:5" ht="28" x14ac:dyDescent="0.2">
      <c r="A514" s="82" t="s">
        <v>185</v>
      </c>
      <c r="B514" s="83">
        <v>45711.291666666664</v>
      </c>
      <c r="C514" s="82" t="s">
        <v>355</v>
      </c>
      <c r="D514" s="82" t="s">
        <v>186</v>
      </c>
      <c r="E514" s="82" t="s">
        <v>187</v>
      </c>
    </row>
    <row r="515" spans="1:5" ht="28" x14ac:dyDescent="0.2">
      <c r="A515" s="82" t="s">
        <v>188</v>
      </c>
      <c r="B515" s="83">
        <v>45711.291666666664</v>
      </c>
      <c r="C515" s="82" t="s">
        <v>496</v>
      </c>
      <c r="D515" s="82" t="s">
        <v>190</v>
      </c>
      <c r="E515" s="82" t="s">
        <v>184</v>
      </c>
    </row>
    <row r="516" spans="1:5" x14ac:dyDescent="0.2">
      <c r="A516" s="82" t="s">
        <v>193</v>
      </c>
      <c r="B516" s="83">
        <v>45711.291666666664</v>
      </c>
      <c r="C516" s="82">
        <v>182</v>
      </c>
      <c r="D516" s="82" t="s">
        <v>194</v>
      </c>
      <c r="E516" s="82" t="s">
        <v>195</v>
      </c>
    </row>
    <row r="517" spans="1:5" ht="28" x14ac:dyDescent="0.2">
      <c r="A517" s="82" t="s">
        <v>196</v>
      </c>
      <c r="B517" s="83">
        <v>45711.291666666664</v>
      </c>
      <c r="C517" s="84">
        <v>0.40625</v>
      </c>
      <c r="D517" s="85"/>
      <c r="E517" s="82" t="s">
        <v>197</v>
      </c>
    </row>
    <row r="518" spans="1:5" ht="28" x14ac:dyDescent="0.2">
      <c r="A518" s="82" t="s">
        <v>198</v>
      </c>
      <c r="B518" s="83">
        <v>45711.291666666664</v>
      </c>
      <c r="C518" s="82">
        <v>208</v>
      </c>
      <c r="D518" s="82">
        <v>2</v>
      </c>
      <c r="E518" s="82" t="s">
        <v>199</v>
      </c>
    </row>
    <row r="519" spans="1:5" x14ac:dyDescent="0.2">
      <c r="A519" s="82" t="s">
        <v>200</v>
      </c>
      <c r="B519" s="83">
        <v>45711.291666666664</v>
      </c>
      <c r="C519" s="82" t="s">
        <v>497</v>
      </c>
      <c r="D519" s="82" t="s">
        <v>201</v>
      </c>
      <c r="E519" s="82" t="s">
        <v>184</v>
      </c>
    </row>
    <row r="520" spans="1:5" x14ac:dyDescent="0.2">
      <c r="A520" s="82" t="s">
        <v>202</v>
      </c>
      <c r="B520" s="83">
        <v>45711.291666666664</v>
      </c>
      <c r="C520" s="82" t="s">
        <v>203</v>
      </c>
      <c r="D520" s="82" t="s">
        <v>204</v>
      </c>
      <c r="E520" s="82" t="s">
        <v>184</v>
      </c>
    </row>
    <row r="521" spans="1:5" ht="28" x14ac:dyDescent="0.2">
      <c r="A521" s="82" t="s">
        <v>205</v>
      </c>
      <c r="B521" s="83">
        <v>45711.291666666664</v>
      </c>
      <c r="C521" s="82" t="s">
        <v>206</v>
      </c>
      <c r="D521" s="82" t="s">
        <v>207</v>
      </c>
      <c r="E521" s="82" t="s">
        <v>208</v>
      </c>
    </row>
    <row r="522" spans="1:5" x14ac:dyDescent="0.2">
      <c r="A522" s="82" t="s">
        <v>209</v>
      </c>
      <c r="B522" s="83">
        <v>45711.291666666664</v>
      </c>
      <c r="C522" s="82" t="s">
        <v>488</v>
      </c>
      <c r="D522" s="82" t="s">
        <v>211</v>
      </c>
      <c r="E522" s="82" t="s">
        <v>184</v>
      </c>
    </row>
    <row r="523" spans="1:5" ht="28" x14ac:dyDescent="0.2">
      <c r="A523" s="82" t="s">
        <v>212</v>
      </c>
      <c r="B523" s="83">
        <v>45711.291666666664</v>
      </c>
      <c r="C523" s="82" t="s">
        <v>451</v>
      </c>
      <c r="D523" s="82" t="s">
        <v>214</v>
      </c>
      <c r="E523" s="82" t="s">
        <v>215</v>
      </c>
    </row>
    <row r="524" spans="1:5" ht="28" x14ac:dyDescent="0.2">
      <c r="A524" s="82" t="s">
        <v>216</v>
      </c>
      <c r="B524" s="83">
        <v>45711.291666666664</v>
      </c>
      <c r="C524" s="82" t="s">
        <v>322</v>
      </c>
      <c r="D524" s="82" t="s">
        <v>218</v>
      </c>
      <c r="E524" s="82" t="s">
        <v>219</v>
      </c>
    </row>
    <row r="525" spans="1:5" x14ac:dyDescent="0.2">
      <c r="A525" s="82" t="s">
        <v>220</v>
      </c>
      <c r="B525" s="83">
        <v>45711.291666666664</v>
      </c>
      <c r="C525" s="82" t="s">
        <v>248</v>
      </c>
      <c r="D525" s="85"/>
      <c r="E525" s="82" t="s">
        <v>222</v>
      </c>
    </row>
    <row r="526" spans="1:5" ht="28" x14ac:dyDescent="0.2">
      <c r="A526" s="82" t="s">
        <v>223</v>
      </c>
      <c r="B526" s="83">
        <v>45711.291666666664</v>
      </c>
      <c r="C526" s="82" t="s">
        <v>490</v>
      </c>
      <c r="D526" s="82" t="s">
        <v>183</v>
      </c>
      <c r="E526" s="82" t="s">
        <v>219</v>
      </c>
    </row>
    <row r="527" spans="1:5" x14ac:dyDescent="0.2">
      <c r="A527" s="82" t="s">
        <v>225</v>
      </c>
      <c r="B527" s="83">
        <v>45711.291666666664</v>
      </c>
      <c r="C527" s="82">
        <v>439</v>
      </c>
      <c r="D527" s="82">
        <v>4</v>
      </c>
      <c r="E527" s="82" t="s">
        <v>195</v>
      </c>
    </row>
    <row r="528" spans="1:5" ht="42" x14ac:dyDescent="0.2">
      <c r="A528" s="82" t="s">
        <v>226</v>
      </c>
      <c r="B528" s="83">
        <v>45711.291666666664</v>
      </c>
      <c r="C528" s="82">
        <v>19</v>
      </c>
      <c r="D528" s="85"/>
      <c r="E528" s="82" t="s">
        <v>227</v>
      </c>
    </row>
    <row r="529" spans="1:5" ht="56" x14ac:dyDescent="0.2">
      <c r="A529" s="82" t="s">
        <v>228</v>
      </c>
      <c r="B529" s="83">
        <v>45711.291666666664</v>
      </c>
      <c r="C529" s="82" t="s">
        <v>283</v>
      </c>
      <c r="D529" s="85"/>
      <c r="E529" s="82" t="s">
        <v>227</v>
      </c>
    </row>
    <row r="530" spans="1:5" x14ac:dyDescent="0.2">
      <c r="A530" s="82" t="s">
        <v>181</v>
      </c>
      <c r="B530" s="83">
        <v>45714.291666666664</v>
      </c>
      <c r="C530" s="82" t="s">
        <v>498</v>
      </c>
      <c r="D530" s="82" t="s">
        <v>183</v>
      </c>
      <c r="E530" s="82" t="s">
        <v>184</v>
      </c>
    </row>
    <row r="531" spans="1:5" ht="28" x14ac:dyDescent="0.2">
      <c r="A531" s="82" t="s">
        <v>185</v>
      </c>
      <c r="B531" s="83">
        <v>45714.291666666664</v>
      </c>
      <c r="C531" s="82" t="s">
        <v>304</v>
      </c>
      <c r="D531" s="82" t="s">
        <v>186</v>
      </c>
      <c r="E531" s="82" t="s">
        <v>187</v>
      </c>
    </row>
    <row r="532" spans="1:5" ht="28" x14ac:dyDescent="0.2">
      <c r="A532" s="82" t="s">
        <v>188</v>
      </c>
      <c r="B532" s="83">
        <v>45714.291666666664</v>
      </c>
      <c r="C532" s="82" t="s">
        <v>252</v>
      </c>
      <c r="D532" s="82" t="s">
        <v>190</v>
      </c>
      <c r="E532" s="82" t="s">
        <v>184</v>
      </c>
    </row>
    <row r="533" spans="1:5" x14ac:dyDescent="0.2">
      <c r="A533" s="82" t="s">
        <v>193</v>
      </c>
      <c r="B533" s="83">
        <v>45714.291666666664</v>
      </c>
      <c r="C533" s="82">
        <v>160</v>
      </c>
      <c r="D533" s="82" t="s">
        <v>194</v>
      </c>
      <c r="E533" s="82" t="s">
        <v>195</v>
      </c>
    </row>
    <row r="534" spans="1:5" ht="28" x14ac:dyDescent="0.2">
      <c r="A534" s="82" t="s">
        <v>196</v>
      </c>
      <c r="B534" s="83">
        <v>45714.291666666664</v>
      </c>
      <c r="C534" s="84">
        <v>0.39930555555555558</v>
      </c>
      <c r="D534" s="85"/>
      <c r="E534" s="82" t="s">
        <v>197</v>
      </c>
    </row>
    <row r="535" spans="1:5" ht="28" x14ac:dyDescent="0.2">
      <c r="A535" s="82" t="s">
        <v>198</v>
      </c>
      <c r="B535" s="83">
        <v>45714.291666666664</v>
      </c>
      <c r="C535" s="82">
        <v>181</v>
      </c>
      <c r="D535" s="82">
        <v>2</v>
      </c>
      <c r="E535" s="82" t="s">
        <v>199</v>
      </c>
    </row>
    <row r="536" spans="1:5" x14ac:dyDescent="0.2">
      <c r="A536" s="82" t="s">
        <v>200</v>
      </c>
      <c r="B536" s="83">
        <v>45714.291666666664</v>
      </c>
      <c r="C536" s="82">
        <v>38</v>
      </c>
      <c r="D536" s="82" t="s">
        <v>201</v>
      </c>
      <c r="E536" s="82" t="s">
        <v>184</v>
      </c>
    </row>
    <row r="537" spans="1:5" x14ac:dyDescent="0.2">
      <c r="A537" s="82" t="s">
        <v>202</v>
      </c>
      <c r="B537" s="83">
        <v>45714.291666666664</v>
      </c>
      <c r="C537" s="82" t="s">
        <v>482</v>
      </c>
      <c r="D537" s="82" t="s">
        <v>204</v>
      </c>
      <c r="E537" s="82" t="s">
        <v>184</v>
      </c>
    </row>
    <row r="538" spans="1:5" ht="28" x14ac:dyDescent="0.2">
      <c r="A538" s="82" t="s">
        <v>205</v>
      </c>
      <c r="B538" s="83">
        <v>45714.291666666664</v>
      </c>
      <c r="C538" s="82" t="s">
        <v>499</v>
      </c>
      <c r="D538" s="82" t="s">
        <v>207</v>
      </c>
      <c r="E538" s="82" t="s">
        <v>208</v>
      </c>
    </row>
    <row r="539" spans="1:5" x14ac:dyDescent="0.2">
      <c r="A539" s="82" t="s">
        <v>209</v>
      </c>
      <c r="B539" s="83">
        <v>45714.291666666664</v>
      </c>
      <c r="C539" s="82" t="s">
        <v>492</v>
      </c>
      <c r="D539" s="82" t="s">
        <v>211</v>
      </c>
      <c r="E539" s="82" t="s">
        <v>184</v>
      </c>
    </row>
    <row r="540" spans="1:5" ht="28" x14ac:dyDescent="0.2">
      <c r="A540" s="82" t="s">
        <v>212</v>
      </c>
      <c r="B540" s="83">
        <v>45714.291666666664</v>
      </c>
      <c r="C540" s="82" t="s">
        <v>322</v>
      </c>
      <c r="D540" s="82" t="s">
        <v>214</v>
      </c>
      <c r="E540" s="82" t="s">
        <v>215</v>
      </c>
    </row>
    <row r="541" spans="1:5" ht="28" x14ac:dyDescent="0.2">
      <c r="A541" s="82" t="s">
        <v>216</v>
      </c>
      <c r="B541" s="83">
        <v>45714.291666666664</v>
      </c>
      <c r="C541" s="82" t="s">
        <v>325</v>
      </c>
      <c r="D541" s="82" t="s">
        <v>218</v>
      </c>
      <c r="E541" s="82" t="s">
        <v>219</v>
      </c>
    </row>
    <row r="542" spans="1:5" x14ac:dyDescent="0.2">
      <c r="A542" s="82" t="s">
        <v>220</v>
      </c>
      <c r="B542" s="83">
        <v>45714.291666666664</v>
      </c>
      <c r="C542" s="82" t="s">
        <v>327</v>
      </c>
      <c r="D542" s="85"/>
      <c r="E542" s="82" t="s">
        <v>222</v>
      </c>
    </row>
    <row r="543" spans="1:5" ht="28" x14ac:dyDescent="0.2">
      <c r="A543" s="82" t="s">
        <v>223</v>
      </c>
      <c r="B543" s="83">
        <v>45714.291666666664</v>
      </c>
      <c r="C543" s="82" t="s">
        <v>328</v>
      </c>
      <c r="D543" s="82" t="s">
        <v>183</v>
      </c>
      <c r="E543" s="82" t="s">
        <v>219</v>
      </c>
    </row>
    <row r="544" spans="1:5" x14ac:dyDescent="0.2">
      <c r="A544" s="82" t="s">
        <v>225</v>
      </c>
      <c r="B544" s="83">
        <v>45714.291666666664</v>
      </c>
      <c r="C544" s="82">
        <v>362</v>
      </c>
      <c r="D544" s="82">
        <v>4</v>
      </c>
      <c r="E544" s="82" t="s">
        <v>195</v>
      </c>
    </row>
    <row r="545" spans="1:5" ht="42" x14ac:dyDescent="0.2">
      <c r="A545" s="82" t="s">
        <v>226</v>
      </c>
      <c r="B545" s="83">
        <v>45714.291666666664</v>
      </c>
      <c r="C545" s="82" t="s">
        <v>426</v>
      </c>
      <c r="D545" s="85"/>
      <c r="E545" s="82" t="s">
        <v>227</v>
      </c>
    </row>
    <row r="546" spans="1:5" ht="56" x14ac:dyDescent="0.2">
      <c r="A546" s="82" t="s">
        <v>228</v>
      </c>
      <c r="B546" s="83">
        <v>45714.291666666664</v>
      </c>
      <c r="C546" s="82" t="s">
        <v>500</v>
      </c>
      <c r="D546" s="85"/>
      <c r="E546" s="82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CD18-AD40-1E47-A3A2-BC5F2BE444A5}">
  <dimension ref="A1:O43"/>
  <sheetViews>
    <sheetView topLeftCell="A15" workbookViewId="0">
      <selection activeCell="N17" sqref="N17"/>
    </sheetView>
  </sheetViews>
  <sheetFormatPr baseColWidth="10" defaultRowHeight="16" x14ac:dyDescent="0.2"/>
  <cols>
    <col min="1" max="1" width="23.1640625" customWidth="1"/>
    <col min="2" max="2" width="11.33203125" style="41" customWidth="1"/>
    <col min="3" max="3" width="14.83203125" customWidth="1"/>
    <col min="4" max="4" width="15.83203125" customWidth="1"/>
    <col min="6" max="6" width="12.6640625" style="62" bestFit="1" customWidth="1"/>
    <col min="8" max="9" width="11" bestFit="1" customWidth="1"/>
    <col min="10" max="10" width="11.5" style="106" bestFit="1" customWidth="1"/>
    <col min="11" max="11" width="11.5" bestFit="1" customWidth="1"/>
    <col min="13" max="13" width="23" customWidth="1"/>
  </cols>
  <sheetData>
    <row r="1" spans="1:15" ht="17" thickBot="1" x14ac:dyDescent="0.25">
      <c r="F1" s="42" t="s">
        <v>138</v>
      </c>
      <c r="G1" s="43" t="s">
        <v>139</v>
      </c>
      <c r="H1" s="42" t="s">
        <v>138</v>
      </c>
      <c r="I1" s="92" t="s">
        <v>139</v>
      </c>
      <c r="J1" s="107" t="s">
        <v>138</v>
      </c>
      <c r="K1" s="95" t="s">
        <v>139</v>
      </c>
      <c r="M1" s="44"/>
      <c r="N1" s="45" t="s">
        <v>0</v>
      </c>
      <c r="O1" s="45" t="s">
        <v>140</v>
      </c>
    </row>
    <row r="2" spans="1:15" ht="17" thickBot="1" x14ac:dyDescent="0.25">
      <c r="A2" s="46" t="s">
        <v>141</v>
      </c>
      <c r="B2" s="47" t="s">
        <v>5</v>
      </c>
      <c r="C2" s="46" t="s">
        <v>142</v>
      </c>
      <c r="D2" s="46" t="s">
        <v>143</v>
      </c>
      <c r="E2" s="48" t="s">
        <v>144</v>
      </c>
      <c r="F2" s="49" t="s">
        <v>145</v>
      </c>
      <c r="G2" s="50"/>
      <c r="H2" s="51" t="s">
        <v>146</v>
      </c>
      <c r="I2" s="52"/>
      <c r="J2" s="108" t="s">
        <v>147</v>
      </c>
      <c r="K2" s="52"/>
      <c r="M2" s="53" t="s">
        <v>148</v>
      </c>
      <c r="N2" s="54">
        <v>38.58</v>
      </c>
      <c r="O2" s="55">
        <v>40</v>
      </c>
    </row>
    <row r="3" spans="1:15" x14ac:dyDescent="0.2">
      <c r="A3" s="6" t="s">
        <v>14</v>
      </c>
      <c r="B3" s="7">
        <v>45319</v>
      </c>
      <c r="C3" s="56">
        <v>37.4</v>
      </c>
      <c r="D3" s="56">
        <v>42</v>
      </c>
      <c r="E3" s="151">
        <v>4.6000000000000014</v>
      </c>
      <c r="F3" s="86">
        <f t="shared" ref="F3:G35" si="0">10^((C3-43.848)/-3.2151)</f>
        <v>101.28295768905998</v>
      </c>
      <c r="G3" s="87">
        <f t="shared" si="0"/>
        <v>3.7565374295905687</v>
      </c>
      <c r="H3" s="88">
        <f t="shared" ref="H3:I35" si="1">F3/5</f>
        <v>20.256591537811996</v>
      </c>
      <c r="I3" s="93">
        <f t="shared" si="1"/>
        <v>0.75130748591811369</v>
      </c>
      <c r="J3" s="109">
        <f t="shared" ref="J3:K35" si="2">H3*(50/5)*(1000/150)</f>
        <v>1350.4394358541331</v>
      </c>
      <c r="K3" s="96">
        <f t="shared" si="2"/>
        <v>50.087165727874243</v>
      </c>
      <c r="M3" s="153"/>
      <c r="N3" s="153"/>
      <c r="O3" s="154"/>
    </row>
    <row r="4" spans="1:15" x14ac:dyDescent="0.2">
      <c r="A4" s="20" t="s">
        <v>16</v>
      </c>
      <c r="B4" s="7">
        <v>45322</v>
      </c>
      <c r="C4" s="56">
        <v>37.799999999999997</v>
      </c>
      <c r="D4" s="56">
        <v>37.4</v>
      </c>
      <c r="E4" s="57">
        <v>0.39999999999999858</v>
      </c>
      <c r="F4" s="86">
        <f t="shared" si="0"/>
        <v>76.054243131411241</v>
      </c>
      <c r="G4" s="87">
        <f t="shared" si="0"/>
        <v>101.28295768905998</v>
      </c>
      <c r="H4" s="88">
        <f t="shared" si="1"/>
        <v>15.210848626282248</v>
      </c>
      <c r="I4" s="93">
        <f t="shared" si="1"/>
        <v>20.256591537811996</v>
      </c>
      <c r="J4" s="98">
        <f t="shared" si="2"/>
        <v>1014.0565750854832</v>
      </c>
      <c r="K4" s="96">
        <f t="shared" si="2"/>
        <v>1350.4394358541331</v>
      </c>
      <c r="M4" s="58" t="s">
        <v>149</v>
      </c>
    </row>
    <row r="5" spans="1:15" x14ac:dyDescent="0.2">
      <c r="A5" s="6" t="s">
        <v>20</v>
      </c>
      <c r="B5" s="7">
        <v>45340</v>
      </c>
      <c r="C5" s="56">
        <v>38.299999999999997</v>
      </c>
      <c r="D5" s="56">
        <v>37.299999999999997</v>
      </c>
      <c r="E5" s="57">
        <v>1</v>
      </c>
      <c r="F5" s="86">
        <f t="shared" si="0"/>
        <v>53.162731954441398</v>
      </c>
      <c r="G5" s="87">
        <f t="shared" si="0"/>
        <v>108.80268348979354</v>
      </c>
      <c r="H5" s="88">
        <f t="shared" si="1"/>
        <v>10.63254639088828</v>
      </c>
      <c r="I5" s="93">
        <f t="shared" si="1"/>
        <v>21.760536697958706</v>
      </c>
      <c r="J5" s="98">
        <f t="shared" si="2"/>
        <v>708.83642605921864</v>
      </c>
      <c r="K5" s="96">
        <f t="shared" si="2"/>
        <v>1450.7024465305806</v>
      </c>
      <c r="M5" s="59">
        <f>38/79</f>
        <v>0.48101265822784811</v>
      </c>
    </row>
    <row r="6" spans="1:15" x14ac:dyDescent="0.2">
      <c r="A6" s="20" t="s">
        <v>23</v>
      </c>
      <c r="B6" s="7">
        <v>45350</v>
      </c>
      <c r="C6" s="56">
        <v>38.299999999999997</v>
      </c>
      <c r="D6" s="56">
        <v>38.1</v>
      </c>
      <c r="E6" s="57">
        <v>0.19999999999999574</v>
      </c>
      <c r="F6" s="86">
        <f t="shared" si="0"/>
        <v>53.162731954441398</v>
      </c>
      <c r="G6" s="87">
        <f t="shared" si="0"/>
        <v>61.349885122574207</v>
      </c>
      <c r="H6" s="88">
        <f t="shared" si="1"/>
        <v>10.63254639088828</v>
      </c>
      <c r="I6" s="93">
        <f t="shared" si="1"/>
        <v>12.269977024514841</v>
      </c>
      <c r="J6" s="98">
        <f t="shared" si="2"/>
        <v>708.83642605921864</v>
      </c>
      <c r="K6" s="96">
        <f t="shared" si="2"/>
        <v>817.99846830098943</v>
      </c>
      <c r="M6" s="61"/>
    </row>
    <row r="7" spans="1:15" x14ac:dyDescent="0.2">
      <c r="A7" s="20" t="s">
        <v>28</v>
      </c>
      <c r="B7" s="7">
        <v>45371</v>
      </c>
      <c r="C7" s="56">
        <v>37.9</v>
      </c>
      <c r="D7" s="56">
        <v>38.700000000000003</v>
      </c>
      <c r="E7" s="57">
        <v>0.80000000000000426</v>
      </c>
      <c r="F7" s="86">
        <f t="shared" si="0"/>
        <v>70.797874115621497</v>
      </c>
      <c r="G7" s="87">
        <f t="shared" si="0"/>
        <v>39.920352188034933</v>
      </c>
      <c r="H7" s="88">
        <f t="shared" si="1"/>
        <v>14.159574823124299</v>
      </c>
      <c r="I7" s="93">
        <f t="shared" si="1"/>
        <v>7.9840704376069862</v>
      </c>
      <c r="J7" s="98">
        <f t="shared" si="2"/>
        <v>943.97165487495329</v>
      </c>
      <c r="K7" s="96">
        <f t="shared" si="2"/>
        <v>532.27136250713249</v>
      </c>
      <c r="M7" s="60"/>
    </row>
    <row r="8" spans="1:15" x14ac:dyDescent="0.2">
      <c r="A8" s="6" t="s">
        <v>32</v>
      </c>
      <c r="B8" s="7">
        <v>45385</v>
      </c>
      <c r="C8" s="56">
        <v>38.5</v>
      </c>
      <c r="D8" s="56">
        <v>38</v>
      </c>
      <c r="E8" s="57">
        <v>0.5</v>
      </c>
      <c r="F8" s="86">
        <f t="shared" si="0"/>
        <v>46.068155844350883</v>
      </c>
      <c r="G8" s="87">
        <f t="shared" si="0"/>
        <v>65.904790750869125</v>
      </c>
      <c r="H8" s="88">
        <f t="shared" si="1"/>
        <v>9.213631168870176</v>
      </c>
      <c r="I8" s="93">
        <f t="shared" si="1"/>
        <v>13.180958150173826</v>
      </c>
      <c r="J8" s="98">
        <f t="shared" si="2"/>
        <v>614.24207792467848</v>
      </c>
      <c r="K8" s="96">
        <f t="shared" si="2"/>
        <v>878.73054334492167</v>
      </c>
      <c r="M8" s="60"/>
    </row>
    <row r="9" spans="1:15" x14ac:dyDescent="0.2">
      <c r="A9" s="6" t="s">
        <v>35</v>
      </c>
      <c r="B9" s="7">
        <v>45396</v>
      </c>
      <c r="C9" s="56">
        <v>38.6</v>
      </c>
      <c r="D9" s="56">
        <v>37.1</v>
      </c>
      <c r="E9" s="57">
        <v>1.5</v>
      </c>
      <c r="F9" s="86">
        <f t="shared" si="0"/>
        <v>42.884227939415759</v>
      </c>
      <c r="G9" s="87">
        <f t="shared" si="0"/>
        <v>125.55848594927166</v>
      </c>
      <c r="H9" s="88">
        <f t="shared" si="1"/>
        <v>8.5768455878831524</v>
      </c>
      <c r="I9" s="93">
        <f t="shared" si="1"/>
        <v>25.111697189854333</v>
      </c>
      <c r="J9" s="98">
        <f t="shared" si="2"/>
        <v>571.78970585887691</v>
      </c>
      <c r="K9" s="96">
        <f t="shared" si="2"/>
        <v>1674.113145990289</v>
      </c>
      <c r="M9" s="60"/>
    </row>
    <row r="10" spans="1:15" x14ac:dyDescent="0.2">
      <c r="A10" s="6" t="s">
        <v>39</v>
      </c>
      <c r="B10" s="7">
        <v>45410</v>
      </c>
      <c r="C10" s="56">
        <v>37.4</v>
      </c>
      <c r="D10" s="56">
        <v>38.299999999999997</v>
      </c>
      <c r="E10" s="57">
        <v>0.89999999999999858</v>
      </c>
      <c r="F10" s="86">
        <f t="shared" si="0"/>
        <v>101.28295768905998</v>
      </c>
      <c r="G10" s="87">
        <f t="shared" si="0"/>
        <v>53.162731954441398</v>
      </c>
      <c r="H10" s="88">
        <f t="shared" si="1"/>
        <v>20.256591537811996</v>
      </c>
      <c r="I10" s="93">
        <f t="shared" si="1"/>
        <v>10.63254639088828</v>
      </c>
      <c r="J10" s="98">
        <f t="shared" si="2"/>
        <v>1350.4394358541331</v>
      </c>
      <c r="K10" s="96">
        <f t="shared" si="2"/>
        <v>708.83642605921864</v>
      </c>
      <c r="M10" s="60"/>
    </row>
    <row r="11" spans="1:15" x14ac:dyDescent="0.2">
      <c r="A11" s="6" t="s">
        <v>51</v>
      </c>
      <c r="B11" s="7">
        <v>45462</v>
      </c>
      <c r="C11" s="56">
        <v>37.9</v>
      </c>
      <c r="D11" s="56">
        <v>37.4</v>
      </c>
      <c r="E11" s="57">
        <v>0.5</v>
      </c>
      <c r="F11" s="86">
        <f t="shared" si="0"/>
        <v>70.797874115621497</v>
      </c>
      <c r="G11" s="87">
        <f t="shared" si="0"/>
        <v>101.28295768905998</v>
      </c>
      <c r="H11" s="88">
        <f t="shared" si="1"/>
        <v>14.159574823124299</v>
      </c>
      <c r="I11" s="93">
        <f t="shared" si="1"/>
        <v>20.256591537811996</v>
      </c>
      <c r="J11" s="98">
        <f t="shared" si="2"/>
        <v>943.97165487495329</v>
      </c>
      <c r="K11" s="96">
        <f t="shared" si="2"/>
        <v>1350.4394358541331</v>
      </c>
      <c r="M11" s="60"/>
    </row>
    <row r="12" spans="1:15" x14ac:dyDescent="0.2">
      <c r="A12" s="6" t="s">
        <v>52</v>
      </c>
      <c r="B12" s="7">
        <v>45466</v>
      </c>
      <c r="C12" s="56">
        <v>37.700000000000003</v>
      </c>
      <c r="D12" s="56">
        <v>38.6</v>
      </c>
      <c r="E12" s="57">
        <v>0.89999999999999858</v>
      </c>
      <c r="F12" s="86">
        <f t="shared" si="0"/>
        <v>81.700869843145455</v>
      </c>
      <c r="G12" s="87">
        <f t="shared" si="0"/>
        <v>42.884227939415759</v>
      </c>
      <c r="H12" s="88">
        <f t="shared" si="1"/>
        <v>16.340173968629092</v>
      </c>
      <c r="I12" s="93">
        <f t="shared" si="1"/>
        <v>8.5768455878831524</v>
      </c>
      <c r="J12" s="98">
        <f t="shared" si="2"/>
        <v>1089.3449312419395</v>
      </c>
      <c r="K12" s="96">
        <f t="shared" si="2"/>
        <v>571.78970585887691</v>
      </c>
      <c r="M12" s="60"/>
    </row>
    <row r="13" spans="1:15" x14ac:dyDescent="0.2">
      <c r="A13" s="20" t="s">
        <v>53</v>
      </c>
      <c r="B13" s="7">
        <v>45469</v>
      </c>
      <c r="C13" s="56">
        <v>36.299999999999997</v>
      </c>
      <c r="D13" s="56">
        <v>36.200000000000003</v>
      </c>
      <c r="E13" s="57">
        <v>9.9999999999994316E-2</v>
      </c>
      <c r="F13" s="86">
        <f t="shared" si="0"/>
        <v>222.67523694465041</v>
      </c>
      <c r="G13" s="87">
        <f t="shared" si="0"/>
        <v>239.20769968707566</v>
      </c>
      <c r="H13" s="88">
        <f t="shared" si="1"/>
        <v>44.535047388930082</v>
      </c>
      <c r="I13" s="93">
        <f t="shared" si="1"/>
        <v>47.841539937415135</v>
      </c>
      <c r="J13" s="98">
        <f t="shared" si="2"/>
        <v>2969.0031592620057</v>
      </c>
      <c r="K13" s="96">
        <f t="shared" si="2"/>
        <v>3189.4359958276755</v>
      </c>
      <c r="M13" s="60"/>
    </row>
    <row r="14" spans="1:15" x14ac:dyDescent="0.2">
      <c r="A14" s="6" t="s">
        <v>63</v>
      </c>
      <c r="B14" s="23">
        <v>45501</v>
      </c>
      <c r="C14" s="56">
        <v>30.6</v>
      </c>
      <c r="D14" s="56">
        <v>31.1</v>
      </c>
      <c r="E14" s="57">
        <v>0.5</v>
      </c>
      <c r="F14" s="86">
        <f t="shared" si="0"/>
        <v>13199.458830830856</v>
      </c>
      <c r="G14" s="87">
        <f t="shared" si="0"/>
        <v>9226.5633431480146</v>
      </c>
      <c r="H14" s="88">
        <f t="shared" si="1"/>
        <v>2639.8917661661712</v>
      </c>
      <c r="I14" s="93">
        <f t="shared" si="1"/>
        <v>1845.312668629603</v>
      </c>
      <c r="J14" s="98">
        <f t="shared" si="2"/>
        <v>175992.78441107809</v>
      </c>
      <c r="K14" s="96">
        <f t="shared" si="2"/>
        <v>123020.84457530687</v>
      </c>
      <c r="M14" s="60"/>
    </row>
    <row r="15" spans="1:15" x14ac:dyDescent="0.2">
      <c r="A15" s="6" t="s">
        <v>65</v>
      </c>
      <c r="B15" s="23">
        <v>45511</v>
      </c>
      <c r="C15" s="56">
        <v>37.799999999999997</v>
      </c>
      <c r="D15" s="56">
        <v>37.5</v>
      </c>
      <c r="E15" s="57">
        <v>0.29999999999999716</v>
      </c>
      <c r="F15" s="86">
        <f t="shared" si="0"/>
        <v>76.054243131411241</v>
      </c>
      <c r="G15" s="87">
        <f t="shared" si="0"/>
        <v>94.282945872435306</v>
      </c>
      <c r="H15" s="88">
        <f t="shared" si="1"/>
        <v>15.210848626282248</v>
      </c>
      <c r="I15" s="93">
        <f t="shared" si="1"/>
        <v>18.856589174487063</v>
      </c>
      <c r="J15" s="98">
        <f t="shared" si="2"/>
        <v>1014.0565750854832</v>
      </c>
      <c r="K15" s="96">
        <f t="shared" si="2"/>
        <v>1257.1059449658042</v>
      </c>
      <c r="M15" s="60"/>
    </row>
    <row r="16" spans="1:15" x14ac:dyDescent="0.2">
      <c r="A16" s="20" t="s">
        <v>71</v>
      </c>
      <c r="B16" s="7">
        <v>45525</v>
      </c>
      <c r="C16" s="56">
        <v>38.1</v>
      </c>
      <c r="D16" s="56">
        <v>39.299999999999997</v>
      </c>
      <c r="E16" s="57">
        <v>1.1999999999999957</v>
      </c>
      <c r="F16" s="86">
        <f t="shared" si="0"/>
        <v>61.349885122574207</v>
      </c>
      <c r="G16" s="87">
        <f t="shared" si="0"/>
        <v>25.976161416321254</v>
      </c>
      <c r="H16" s="88">
        <f t="shared" si="1"/>
        <v>12.269977024514841</v>
      </c>
      <c r="I16" s="93">
        <f t="shared" si="1"/>
        <v>5.195232283264251</v>
      </c>
      <c r="J16" s="98">
        <f t="shared" si="2"/>
        <v>817.99846830098943</v>
      </c>
      <c r="K16" s="96">
        <f t="shared" si="2"/>
        <v>346.34881888428339</v>
      </c>
      <c r="M16" s="60"/>
    </row>
    <row r="17" spans="1:13" x14ac:dyDescent="0.2">
      <c r="A17" s="6" t="s">
        <v>72</v>
      </c>
      <c r="B17" s="21" t="s">
        <v>73</v>
      </c>
      <c r="C17" s="56">
        <v>38</v>
      </c>
      <c r="D17" s="56">
        <v>40.200000000000003</v>
      </c>
      <c r="E17" s="57">
        <v>2.2000000000000028</v>
      </c>
      <c r="F17" s="86">
        <f t="shared" si="0"/>
        <v>65.904790750869125</v>
      </c>
      <c r="G17" s="87">
        <f t="shared" si="0"/>
        <v>13.634709511749849</v>
      </c>
      <c r="H17" s="88">
        <f t="shared" si="1"/>
        <v>13.180958150173826</v>
      </c>
      <c r="I17" s="93">
        <f t="shared" si="1"/>
        <v>2.7269419023499699</v>
      </c>
      <c r="J17" s="98">
        <f t="shared" si="2"/>
        <v>878.73054334492167</v>
      </c>
      <c r="K17" s="96">
        <f t="shared" si="2"/>
        <v>181.79612682333135</v>
      </c>
      <c r="M17" s="60"/>
    </row>
    <row r="18" spans="1:13" x14ac:dyDescent="0.2">
      <c r="A18" s="6" t="s">
        <v>74</v>
      </c>
      <c r="B18" s="21" t="s">
        <v>75</v>
      </c>
      <c r="C18" s="56">
        <v>38</v>
      </c>
      <c r="D18" s="56">
        <v>39.200000000000003</v>
      </c>
      <c r="E18" s="57">
        <v>1.2000000000000028</v>
      </c>
      <c r="F18" s="86">
        <f t="shared" si="0"/>
        <v>65.904790750869125</v>
      </c>
      <c r="G18" s="87">
        <f t="shared" si="0"/>
        <v>27.904754495188403</v>
      </c>
      <c r="H18" s="88">
        <f t="shared" si="1"/>
        <v>13.180958150173826</v>
      </c>
      <c r="I18" s="93">
        <f t="shared" si="1"/>
        <v>5.5809508990376804</v>
      </c>
      <c r="J18" s="98">
        <f t="shared" si="2"/>
        <v>878.73054334492167</v>
      </c>
      <c r="K18" s="96">
        <f t="shared" si="2"/>
        <v>372.06339326917873</v>
      </c>
      <c r="M18" s="60"/>
    </row>
    <row r="19" spans="1:13" x14ac:dyDescent="0.2">
      <c r="A19" s="6" t="s">
        <v>81</v>
      </c>
      <c r="B19" s="21" t="s">
        <v>82</v>
      </c>
      <c r="C19" s="56">
        <v>37.799999999999997</v>
      </c>
      <c r="D19" s="56">
        <v>38.200000000000003</v>
      </c>
      <c r="E19" s="57">
        <v>0.40000000000000568</v>
      </c>
      <c r="F19" s="86">
        <f t="shared" si="0"/>
        <v>76.054243131411241</v>
      </c>
      <c r="G19" s="87">
        <f t="shared" si="0"/>
        <v>57.109784610057602</v>
      </c>
      <c r="H19" s="88">
        <f t="shared" si="1"/>
        <v>15.210848626282248</v>
      </c>
      <c r="I19" s="93">
        <f t="shared" si="1"/>
        <v>11.421956922011521</v>
      </c>
      <c r="J19" s="98">
        <f t="shared" si="2"/>
        <v>1014.0565750854832</v>
      </c>
      <c r="K19" s="96">
        <f t="shared" si="2"/>
        <v>761.46379480076803</v>
      </c>
      <c r="M19" s="60"/>
    </row>
    <row r="20" spans="1:13" x14ac:dyDescent="0.2">
      <c r="A20" s="6" t="s">
        <v>85</v>
      </c>
      <c r="B20" s="23">
        <v>45564</v>
      </c>
      <c r="C20" s="56">
        <v>37.6</v>
      </c>
      <c r="D20" s="56">
        <v>37.299999999999997</v>
      </c>
      <c r="E20" s="57">
        <v>0.30000000000000426</v>
      </c>
      <c r="F20" s="86">
        <f t="shared" si="0"/>
        <v>87.766728827911606</v>
      </c>
      <c r="G20" s="87">
        <f t="shared" si="0"/>
        <v>108.80268348979354</v>
      </c>
      <c r="H20" s="88">
        <f t="shared" si="1"/>
        <v>17.553345765582321</v>
      </c>
      <c r="I20" s="93">
        <f t="shared" si="1"/>
        <v>21.760536697958706</v>
      </c>
      <c r="J20" s="98">
        <f t="shared" si="2"/>
        <v>1170.2230510388215</v>
      </c>
      <c r="K20" s="96">
        <f t="shared" si="2"/>
        <v>1450.7024465305806</v>
      </c>
      <c r="M20" s="60"/>
    </row>
    <row r="21" spans="1:13" x14ac:dyDescent="0.2">
      <c r="A21" s="6" t="s">
        <v>86</v>
      </c>
      <c r="B21" s="23">
        <v>45567</v>
      </c>
      <c r="C21" s="56">
        <v>38.4</v>
      </c>
      <c r="D21" s="56">
        <v>37</v>
      </c>
      <c r="E21" s="57">
        <v>1.3999999999999986</v>
      </c>
      <c r="F21" s="86">
        <f t="shared" si="0"/>
        <v>49.488473615465857</v>
      </c>
      <c r="G21" s="87">
        <f t="shared" si="0"/>
        <v>134.88054178014877</v>
      </c>
      <c r="H21" s="88">
        <f t="shared" si="1"/>
        <v>9.8976947230931707</v>
      </c>
      <c r="I21" s="93">
        <f t="shared" si="1"/>
        <v>26.976108356029755</v>
      </c>
      <c r="J21" s="98">
        <f t="shared" si="2"/>
        <v>659.846314872878</v>
      </c>
      <c r="K21" s="96">
        <f t="shared" si="2"/>
        <v>1798.4072237353171</v>
      </c>
      <c r="M21" s="60"/>
    </row>
    <row r="22" spans="1:13" x14ac:dyDescent="0.2">
      <c r="A22" s="6" t="s">
        <v>89</v>
      </c>
      <c r="B22" s="23">
        <v>45578</v>
      </c>
      <c r="C22" s="56">
        <v>38.700000000000003</v>
      </c>
      <c r="D22" s="56">
        <v>40.700000000000003</v>
      </c>
      <c r="E22" s="57">
        <v>2</v>
      </c>
      <c r="F22" s="86">
        <f t="shared" si="0"/>
        <v>39.920352188034933</v>
      </c>
      <c r="G22" s="87">
        <f t="shared" si="0"/>
        <v>9.53080823902717</v>
      </c>
      <c r="H22" s="88">
        <f t="shared" si="1"/>
        <v>7.9840704376069862</v>
      </c>
      <c r="I22" s="93">
        <f t="shared" si="1"/>
        <v>1.906161647805434</v>
      </c>
      <c r="J22" s="98">
        <f t="shared" si="2"/>
        <v>532.27136250713249</v>
      </c>
      <c r="K22" s="96">
        <f t="shared" si="2"/>
        <v>127.07744318702893</v>
      </c>
      <c r="M22" s="60"/>
    </row>
    <row r="23" spans="1:13" x14ac:dyDescent="0.2">
      <c r="A23" s="6" t="s">
        <v>90</v>
      </c>
      <c r="B23" s="21" t="s">
        <v>91</v>
      </c>
      <c r="C23" s="56">
        <v>37.700000000000003</v>
      </c>
      <c r="D23" s="56">
        <v>38.200000000000003</v>
      </c>
      <c r="E23" s="57">
        <v>0.5</v>
      </c>
      <c r="F23" s="86">
        <f t="shared" si="0"/>
        <v>81.700869843145455</v>
      </c>
      <c r="G23" s="87">
        <f t="shared" si="0"/>
        <v>57.109784610057602</v>
      </c>
      <c r="H23" s="88">
        <f t="shared" si="1"/>
        <v>16.340173968629092</v>
      </c>
      <c r="I23" s="93">
        <f t="shared" si="1"/>
        <v>11.421956922011521</v>
      </c>
      <c r="J23" s="98">
        <f t="shared" si="2"/>
        <v>1089.3449312419395</v>
      </c>
      <c r="K23" s="96">
        <f t="shared" si="2"/>
        <v>761.46379480076803</v>
      </c>
      <c r="M23" s="60"/>
    </row>
    <row r="24" spans="1:13" x14ac:dyDescent="0.2">
      <c r="A24" s="6" t="s">
        <v>92</v>
      </c>
      <c r="B24" s="23">
        <v>45585</v>
      </c>
      <c r="C24" s="56">
        <v>38.5</v>
      </c>
      <c r="D24" s="56">
        <v>39.299999999999997</v>
      </c>
      <c r="E24" s="57">
        <v>0.79999999999999716</v>
      </c>
      <c r="F24" s="86">
        <f t="shared" si="0"/>
        <v>46.068155844350883</v>
      </c>
      <c r="G24" s="87">
        <f t="shared" si="0"/>
        <v>25.976161416321254</v>
      </c>
      <c r="H24" s="88">
        <f t="shared" si="1"/>
        <v>9.213631168870176</v>
      </c>
      <c r="I24" s="93">
        <f t="shared" si="1"/>
        <v>5.195232283264251</v>
      </c>
      <c r="J24" s="98">
        <f t="shared" si="2"/>
        <v>614.24207792467848</v>
      </c>
      <c r="K24" s="96">
        <f t="shared" si="2"/>
        <v>346.34881888428339</v>
      </c>
      <c r="M24" s="60"/>
    </row>
    <row r="25" spans="1:13" x14ac:dyDescent="0.2">
      <c r="A25" s="6" t="s">
        <v>94</v>
      </c>
      <c r="B25" s="23">
        <v>45592</v>
      </c>
      <c r="C25" s="56">
        <v>37.6</v>
      </c>
      <c r="D25" s="56">
        <v>38.700000000000003</v>
      </c>
      <c r="E25" s="57">
        <v>1.1000000000000014</v>
      </c>
      <c r="F25" s="86">
        <f t="shared" si="0"/>
        <v>87.766728827911606</v>
      </c>
      <c r="G25" s="87">
        <f t="shared" si="0"/>
        <v>39.920352188034933</v>
      </c>
      <c r="H25" s="88">
        <f t="shared" si="1"/>
        <v>17.553345765582321</v>
      </c>
      <c r="I25" s="93">
        <f t="shared" si="1"/>
        <v>7.9840704376069862</v>
      </c>
      <c r="J25" s="98">
        <f t="shared" si="2"/>
        <v>1170.2230510388215</v>
      </c>
      <c r="K25" s="96">
        <f t="shared" si="2"/>
        <v>532.27136250713249</v>
      </c>
      <c r="M25" s="60"/>
    </row>
    <row r="26" spans="1:13" x14ac:dyDescent="0.2">
      <c r="A26" s="20" t="s">
        <v>95</v>
      </c>
      <c r="B26" s="7">
        <v>45595</v>
      </c>
      <c r="C26" s="56">
        <v>38.200000000000003</v>
      </c>
      <c r="D26" s="56">
        <v>38.200000000000003</v>
      </c>
      <c r="E26" s="57">
        <v>0</v>
      </c>
      <c r="F26" s="86">
        <f t="shared" si="0"/>
        <v>57.109784610057602</v>
      </c>
      <c r="G26" s="87">
        <f t="shared" si="0"/>
        <v>57.109784610057602</v>
      </c>
      <c r="H26" s="88">
        <f t="shared" si="1"/>
        <v>11.421956922011521</v>
      </c>
      <c r="I26" s="93">
        <f t="shared" si="1"/>
        <v>11.421956922011521</v>
      </c>
      <c r="J26" s="98">
        <f t="shared" si="2"/>
        <v>761.46379480076803</v>
      </c>
      <c r="K26" s="96">
        <f t="shared" si="2"/>
        <v>761.46379480076803</v>
      </c>
      <c r="M26" s="60"/>
    </row>
    <row r="27" spans="1:13" x14ac:dyDescent="0.2">
      <c r="A27" s="6" t="s">
        <v>96</v>
      </c>
      <c r="B27" s="21" t="s">
        <v>97</v>
      </c>
      <c r="C27" s="56">
        <v>37.799999999999997</v>
      </c>
      <c r="D27" s="56">
        <v>39.5</v>
      </c>
      <c r="E27" s="57">
        <v>1.7000000000000028</v>
      </c>
      <c r="F27" s="86">
        <f t="shared" si="0"/>
        <v>76.054243131411241</v>
      </c>
      <c r="G27" s="87">
        <f t="shared" si="0"/>
        <v>22.509638018426308</v>
      </c>
      <c r="H27" s="88">
        <f t="shared" si="1"/>
        <v>15.210848626282248</v>
      </c>
      <c r="I27" s="93">
        <f t="shared" si="1"/>
        <v>4.501927603685262</v>
      </c>
      <c r="J27" s="98">
        <f t="shared" si="2"/>
        <v>1014.0565750854832</v>
      </c>
      <c r="K27" s="96">
        <f t="shared" si="2"/>
        <v>300.12850691235082</v>
      </c>
      <c r="M27" s="60"/>
    </row>
    <row r="28" spans="1:13" x14ac:dyDescent="0.2">
      <c r="A28" s="6" t="s">
        <v>98</v>
      </c>
      <c r="B28" s="21" t="s">
        <v>99</v>
      </c>
      <c r="C28" s="56">
        <v>37</v>
      </c>
      <c r="D28" s="56">
        <v>38.4</v>
      </c>
      <c r="E28" s="57">
        <v>1.3999999999999986</v>
      </c>
      <c r="F28" s="86">
        <f t="shared" si="0"/>
        <v>134.88054178014877</v>
      </c>
      <c r="G28" s="87">
        <f t="shared" si="0"/>
        <v>49.488473615465857</v>
      </c>
      <c r="H28" s="88">
        <f t="shared" si="1"/>
        <v>26.976108356029755</v>
      </c>
      <c r="I28" s="93">
        <f t="shared" si="1"/>
        <v>9.8976947230931707</v>
      </c>
      <c r="J28" s="98">
        <f t="shared" si="2"/>
        <v>1798.4072237353171</v>
      </c>
      <c r="K28" s="96">
        <f t="shared" si="2"/>
        <v>659.846314872878</v>
      </c>
      <c r="M28" s="60"/>
    </row>
    <row r="29" spans="1:13" x14ac:dyDescent="0.2">
      <c r="A29" s="6" t="s">
        <v>100</v>
      </c>
      <c r="B29" s="21" t="s">
        <v>101</v>
      </c>
      <c r="C29" s="56">
        <v>36.5</v>
      </c>
      <c r="D29" s="56">
        <v>37.4</v>
      </c>
      <c r="E29" s="57">
        <v>0.89999999999999858</v>
      </c>
      <c r="F29" s="86">
        <f t="shared" si="0"/>
        <v>192.95918665419322</v>
      </c>
      <c r="G29" s="87">
        <f t="shared" si="0"/>
        <v>101.28295768905998</v>
      </c>
      <c r="H29" s="88">
        <f t="shared" si="1"/>
        <v>38.591837330838644</v>
      </c>
      <c r="I29" s="93">
        <f t="shared" si="1"/>
        <v>20.256591537811996</v>
      </c>
      <c r="J29" s="98">
        <f t="shared" si="2"/>
        <v>2572.7891553892432</v>
      </c>
      <c r="K29" s="96">
        <f t="shared" si="2"/>
        <v>1350.4394358541331</v>
      </c>
      <c r="M29" s="60"/>
    </row>
    <row r="30" spans="1:13" x14ac:dyDescent="0.2">
      <c r="A30" s="6" t="s">
        <v>102</v>
      </c>
      <c r="B30" s="23">
        <v>45609</v>
      </c>
      <c r="C30" s="56">
        <v>36.799999999999997</v>
      </c>
      <c r="D30" s="56">
        <v>37.6</v>
      </c>
      <c r="E30" s="57">
        <v>0.80000000000000426</v>
      </c>
      <c r="F30" s="86">
        <f t="shared" si="0"/>
        <v>155.65237976434398</v>
      </c>
      <c r="G30" s="87">
        <f t="shared" si="0"/>
        <v>87.766728827911606</v>
      </c>
      <c r="H30" s="88">
        <f t="shared" si="1"/>
        <v>31.130475952868796</v>
      </c>
      <c r="I30" s="93">
        <f t="shared" si="1"/>
        <v>17.553345765582321</v>
      </c>
      <c r="J30" s="98">
        <f t="shared" si="2"/>
        <v>2075.3650635245863</v>
      </c>
      <c r="K30" s="96">
        <f t="shared" si="2"/>
        <v>1170.2230510388215</v>
      </c>
      <c r="M30" s="60"/>
    </row>
    <row r="31" spans="1:13" x14ac:dyDescent="0.2">
      <c r="A31" s="6" t="s">
        <v>103</v>
      </c>
      <c r="B31" s="23">
        <v>45613</v>
      </c>
      <c r="C31" s="56">
        <v>38.200000000000003</v>
      </c>
      <c r="D31" s="56">
        <v>40</v>
      </c>
      <c r="E31" s="57">
        <v>1.7999999999999972</v>
      </c>
      <c r="F31" s="86">
        <f t="shared" si="0"/>
        <v>57.109784610057602</v>
      </c>
      <c r="G31" s="87">
        <f t="shared" si="0"/>
        <v>15.734478486590342</v>
      </c>
      <c r="H31" s="88">
        <f t="shared" si="1"/>
        <v>11.421956922011521</v>
      </c>
      <c r="I31" s="93">
        <f t="shared" si="1"/>
        <v>3.1468956973180684</v>
      </c>
      <c r="J31" s="98">
        <f t="shared" si="2"/>
        <v>761.46379480076803</v>
      </c>
      <c r="K31" s="96">
        <f t="shared" si="2"/>
        <v>209.79304648787124</v>
      </c>
      <c r="M31" s="60"/>
    </row>
    <row r="32" spans="1:13" x14ac:dyDescent="0.2">
      <c r="A32" s="6" t="s">
        <v>104</v>
      </c>
      <c r="B32" s="21" t="s">
        <v>105</v>
      </c>
      <c r="C32" s="56">
        <v>38.6</v>
      </c>
      <c r="D32" s="56">
        <v>37.9</v>
      </c>
      <c r="E32" s="57">
        <v>0.70000000000000284</v>
      </c>
      <c r="F32" s="86">
        <f t="shared" si="0"/>
        <v>42.884227939415759</v>
      </c>
      <c r="G32" s="87">
        <f t="shared" si="0"/>
        <v>70.797874115621497</v>
      </c>
      <c r="H32" s="88">
        <f t="shared" si="1"/>
        <v>8.5768455878831524</v>
      </c>
      <c r="I32" s="93">
        <f t="shared" si="1"/>
        <v>14.159574823124299</v>
      </c>
      <c r="J32" s="98">
        <f t="shared" si="2"/>
        <v>571.78970585887691</v>
      </c>
      <c r="K32" s="96">
        <f t="shared" si="2"/>
        <v>943.97165487495329</v>
      </c>
      <c r="M32" s="60"/>
    </row>
    <row r="33" spans="1:13" x14ac:dyDescent="0.2">
      <c r="A33" s="6" t="s">
        <v>106</v>
      </c>
      <c r="B33" s="21" t="s">
        <v>107</v>
      </c>
      <c r="C33" s="56">
        <v>38.700000000000003</v>
      </c>
      <c r="D33" s="56">
        <v>38.799999999999997</v>
      </c>
      <c r="E33" s="57">
        <v>9.9999999999994316E-2</v>
      </c>
      <c r="F33" s="86">
        <f t="shared" si="0"/>
        <v>39.920352188034933</v>
      </c>
      <c r="G33" s="87">
        <f t="shared" si="0"/>
        <v>37.161320032813549</v>
      </c>
      <c r="H33" s="88">
        <f t="shared" si="1"/>
        <v>7.9840704376069862</v>
      </c>
      <c r="I33" s="93">
        <f t="shared" si="1"/>
        <v>7.4322640065627095</v>
      </c>
      <c r="J33" s="98">
        <f t="shared" si="2"/>
        <v>532.27136250713249</v>
      </c>
      <c r="K33" s="96">
        <f t="shared" si="2"/>
        <v>495.48426710418067</v>
      </c>
      <c r="M33" s="60"/>
    </row>
    <row r="34" spans="1:13" x14ac:dyDescent="0.2">
      <c r="A34" s="20" t="s">
        <v>108</v>
      </c>
      <c r="B34" s="7">
        <v>45623</v>
      </c>
      <c r="C34" s="56">
        <v>38.1</v>
      </c>
      <c r="D34" s="56">
        <v>40.200000000000003</v>
      </c>
      <c r="E34" s="57">
        <v>2.1000000000000014</v>
      </c>
      <c r="F34" s="86">
        <f t="shared" si="0"/>
        <v>61.349885122574207</v>
      </c>
      <c r="G34" s="87">
        <f t="shared" si="0"/>
        <v>13.634709511749849</v>
      </c>
      <c r="H34" s="88">
        <f t="shared" si="1"/>
        <v>12.269977024514841</v>
      </c>
      <c r="I34" s="93">
        <f t="shared" si="1"/>
        <v>2.7269419023499699</v>
      </c>
      <c r="J34" s="98">
        <f t="shared" si="2"/>
        <v>817.99846830098943</v>
      </c>
      <c r="K34" s="96">
        <f t="shared" si="2"/>
        <v>181.79612682333135</v>
      </c>
      <c r="M34" s="60"/>
    </row>
    <row r="35" spans="1:13" x14ac:dyDescent="0.2">
      <c r="A35" s="6" t="s">
        <v>111</v>
      </c>
      <c r="B35" s="21" t="s">
        <v>112</v>
      </c>
      <c r="C35" s="56">
        <v>37</v>
      </c>
      <c r="D35" s="56">
        <v>38.200000000000003</v>
      </c>
      <c r="E35" s="57">
        <v>1.2000000000000028</v>
      </c>
      <c r="F35" s="86">
        <f t="shared" si="0"/>
        <v>134.88054178014877</v>
      </c>
      <c r="G35" s="87">
        <f t="shared" si="0"/>
        <v>57.109784610057602</v>
      </c>
      <c r="H35" s="88">
        <f t="shared" si="1"/>
        <v>26.976108356029755</v>
      </c>
      <c r="I35" s="93">
        <f t="shared" si="1"/>
        <v>11.421956922011521</v>
      </c>
      <c r="J35" s="98">
        <f t="shared" si="2"/>
        <v>1798.4072237353171</v>
      </c>
      <c r="K35" s="96">
        <f t="shared" si="2"/>
        <v>761.46379480076803</v>
      </c>
      <c r="M35" s="60"/>
    </row>
    <row r="36" spans="1:13" x14ac:dyDescent="0.2">
      <c r="A36" s="6" t="s">
        <v>115</v>
      </c>
      <c r="B36" s="23">
        <v>45637</v>
      </c>
      <c r="C36" s="56">
        <v>38.6</v>
      </c>
      <c r="D36" s="56">
        <v>38.1</v>
      </c>
      <c r="E36" s="57">
        <v>0.5</v>
      </c>
      <c r="F36" s="86">
        <f t="shared" ref="F36:G40" si="3">10^((C36-43.848)/-3.2151)</f>
        <v>42.884227939415759</v>
      </c>
      <c r="G36" s="87">
        <f t="shared" si="3"/>
        <v>61.349885122574207</v>
      </c>
      <c r="H36" s="88">
        <f t="shared" ref="H36:I40" si="4">F36/5</f>
        <v>8.5768455878831524</v>
      </c>
      <c r="I36" s="93">
        <f t="shared" si="4"/>
        <v>12.269977024514841</v>
      </c>
      <c r="J36" s="98">
        <f t="shared" ref="J36:K40" si="5">H36*(50/5)*(1000/150)</f>
        <v>571.78970585887691</v>
      </c>
      <c r="K36" s="96">
        <f t="shared" si="5"/>
        <v>817.99846830098943</v>
      </c>
      <c r="M36" s="60"/>
    </row>
    <row r="37" spans="1:13" x14ac:dyDescent="0.2">
      <c r="A37" s="20" t="s">
        <v>122</v>
      </c>
      <c r="B37" s="7">
        <v>45651</v>
      </c>
      <c r="C37" s="56">
        <v>38.1</v>
      </c>
      <c r="D37" s="56">
        <v>39.5</v>
      </c>
      <c r="E37" s="57">
        <v>1.3999999999999986</v>
      </c>
      <c r="F37" s="86">
        <f t="shared" si="3"/>
        <v>61.349885122574207</v>
      </c>
      <c r="G37" s="87">
        <f t="shared" si="3"/>
        <v>22.509638018426308</v>
      </c>
      <c r="H37" s="88">
        <f t="shared" si="4"/>
        <v>12.269977024514841</v>
      </c>
      <c r="I37" s="93">
        <f t="shared" si="4"/>
        <v>4.501927603685262</v>
      </c>
      <c r="J37" s="98">
        <f t="shared" si="5"/>
        <v>817.99846830098943</v>
      </c>
      <c r="K37" s="96">
        <f t="shared" si="5"/>
        <v>300.12850691235082</v>
      </c>
      <c r="M37" s="60"/>
    </row>
    <row r="38" spans="1:13" x14ac:dyDescent="0.2">
      <c r="A38" s="6" t="s">
        <v>129</v>
      </c>
      <c r="B38" s="23">
        <v>45665</v>
      </c>
      <c r="C38" s="56">
        <v>37.700000000000003</v>
      </c>
      <c r="D38" s="56">
        <v>37.6</v>
      </c>
      <c r="E38" s="57">
        <v>0.10000000000000142</v>
      </c>
      <c r="F38" s="86">
        <f t="shared" si="3"/>
        <v>81.700869843145455</v>
      </c>
      <c r="G38" s="87">
        <f t="shared" si="3"/>
        <v>87.766728827911606</v>
      </c>
      <c r="H38" s="88">
        <f t="shared" si="4"/>
        <v>16.340173968629092</v>
      </c>
      <c r="I38" s="93">
        <f t="shared" si="4"/>
        <v>17.553345765582321</v>
      </c>
      <c r="J38" s="98">
        <f t="shared" si="5"/>
        <v>1089.3449312419395</v>
      </c>
      <c r="K38" s="96">
        <f t="shared" si="5"/>
        <v>1170.2230510388215</v>
      </c>
      <c r="M38" s="60"/>
    </row>
    <row r="39" spans="1:13" x14ac:dyDescent="0.2">
      <c r="A39" s="6" t="s">
        <v>133</v>
      </c>
      <c r="B39" s="23">
        <v>45676</v>
      </c>
      <c r="C39" s="56">
        <v>37</v>
      </c>
      <c r="D39" s="56">
        <v>37.299999999999997</v>
      </c>
      <c r="E39" s="57">
        <v>0.29999999999999716</v>
      </c>
      <c r="F39" s="86">
        <f t="shared" si="3"/>
        <v>134.88054178014877</v>
      </c>
      <c r="G39" s="87">
        <f t="shared" si="3"/>
        <v>108.80268348979354</v>
      </c>
      <c r="H39" s="88">
        <f t="shared" si="4"/>
        <v>26.976108356029755</v>
      </c>
      <c r="I39" s="93">
        <f t="shared" si="4"/>
        <v>21.760536697958706</v>
      </c>
      <c r="J39" s="98">
        <f t="shared" si="5"/>
        <v>1798.4072237353171</v>
      </c>
      <c r="K39" s="96">
        <f t="shared" si="5"/>
        <v>1450.7024465305806</v>
      </c>
      <c r="M39" s="60"/>
    </row>
    <row r="40" spans="1:13" ht="17" thickBot="1" x14ac:dyDescent="0.25">
      <c r="A40" s="25" t="s">
        <v>137</v>
      </c>
      <c r="B40" s="7">
        <v>45686</v>
      </c>
      <c r="C40" s="56">
        <v>38.6</v>
      </c>
      <c r="D40" s="56">
        <v>39.799999999999997</v>
      </c>
      <c r="E40" s="57">
        <v>1.1999999999999957</v>
      </c>
      <c r="F40" s="89">
        <f t="shared" si="3"/>
        <v>42.884227939415759</v>
      </c>
      <c r="G40" s="90">
        <f t="shared" si="3"/>
        <v>18.157615534942277</v>
      </c>
      <c r="H40" s="91">
        <f t="shared" si="4"/>
        <v>8.5768455878831524</v>
      </c>
      <c r="I40" s="94">
        <f t="shared" si="4"/>
        <v>3.6315231069884555</v>
      </c>
      <c r="J40" s="99">
        <f t="shared" si="5"/>
        <v>571.78970585887691</v>
      </c>
      <c r="K40" s="97">
        <f t="shared" si="5"/>
        <v>242.10154046589705</v>
      </c>
      <c r="M40" s="60"/>
    </row>
    <row r="41" spans="1:13" x14ac:dyDescent="0.2">
      <c r="M41" s="60"/>
    </row>
    <row r="42" spans="1:13" x14ac:dyDescent="0.2">
      <c r="M42" s="60"/>
    </row>
    <row r="43" spans="1:13" x14ac:dyDescent="0.2">
      <c r="M43" s="60"/>
    </row>
  </sheetData>
  <mergeCells count="3">
    <mergeCell ref="F2:G2"/>
    <mergeCell ref="H2:I2"/>
    <mergeCell ref="J2:K2"/>
  </mergeCells>
  <conditionalFormatting sqref="E3:E32"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1955-06C1-364B-8724-CB891E89FDE5}">
  <dimension ref="A1:O28"/>
  <sheetViews>
    <sheetView workbookViewId="0">
      <selection activeCell="N4" sqref="N4"/>
    </sheetView>
  </sheetViews>
  <sheetFormatPr baseColWidth="10" defaultRowHeight="16" x14ac:dyDescent="0.2"/>
  <cols>
    <col min="1" max="1" width="20.6640625" customWidth="1"/>
    <col min="3" max="5" width="10.83203125" style="63"/>
    <col min="6" max="6" width="13.6640625" bestFit="1" customWidth="1"/>
    <col min="7" max="7" width="11" bestFit="1" customWidth="1"/>
    <col min="8" max="8" width="9.6640625" customWidth="1"/>
    <col min="9" max="9" width="7.5" customWidth="1"/>
    <col min="10" max="10" width="8.33203125" style="110" customWidth="1"/>
    <col min="11" max="11" width="8.5" customWidth="1"/>
    <col min="12" max="12" width="10.83203125" style="63"/>
    <col min="13" max="13" width="22.6640625" style="63" customWidth="1"/>
    <col min="14" max="14" width="13.6640625" bestFit="1" customWidth="1"/>
    <col min="15" max="15" width="11" bestFit="1" customWidth="1"/>
  </cols>
  <sheetData>
    <row r="1" spans="1:15" ht="17" thickBot="1" x14ac:dyDescent="0.25">
      <c r="F1" s="42" t="s">
        <v>138</v>
      </c>
      <c r="G1" s="43" t="s">
        <v>139</v>
      </c>
      <c r="H1" s="42" t="s">
        <v>138</v>
      </c>
      <c r="I1" s="92" t="s">
        <v>139</v>
      </c>
      <c r="J1" s="107" t="s">
        <v>138</v>
      </c>
      <c r="K1" s="95" t="s">
        <v>139</v>
      </c>
      <c r="M1" s="44"/>
      <c r="N1" s="45" t="s">
        <v>0</v>
      </c>
      <c r="O1" s="45" t="s">
        <v>140</v>
      </c>
    </row>
    <row r="2" spans="1:15" ht="17" thickBot="1" x14ac:dyDescent="0.25">
      <c r="A2" s="46" t="s">
        <v>141</v>
      </c>
      <c r="B2" s="47" t="s">
        <v>5</v>
      </c>
      <c r="C2" s="46" t="s">
        <v>150</v>
      </c>
      <c r="D2" s="46" t="s">
        <v>151</v>
      </c>
      <c r="E2" s="48" t="s">
        <v>144</v>
      </c>
      <c r="F2" s="64" t="s">
        <v>145</v>
      </c>
      <c r="G2" s="65" t="s">
        <v>152</v>
      </c>
      <c r="H2" s="49" t="s">
        <v>146</v>
      </c>
      <c r="I2" s="50"/>
      <c r="J2" s="113" t="s">
        <v>147</v>
      </c>
      <c r="K2" s="50"/>
      <c r="L2"/>
      <c r="M2" s="53" t="s">
        <v>148</v>
      </c>
      <c r="N2" s="54">
        <v>38</v>
      </c>
      <c r="O2" s="55">
        <v>50</v>
      </c>
    </row>
    <row r="3" spans="1:15" x14ac:dyDescent="0.2">
      <c r="A3" s="66" t="s">
        <v>14</v>
      </c>
      <c r="B3" s="67">
        <v>45319</v>
      </c>
      <c r="C3" s="68">
        <v>37.9</v>
      </c>
      <c r="D3" s="68">
        <v>36.700000000000003</v>
      </c>
      <c r="E3" s="69">
        <v>1.1999999999999957</v>
      </c>
      <c r="F3" s="86">
        <f t="shared" ref="F3:G27" si="0">10^((C3-43.867)/-3.4191)</f>
        <v>55.615533068192541</v>
      </c>
      <c r="G3" s="87">
        <f t="shared" si="0"/>
        <v>124.78594079498397</v>
      </c>
      <c r="H3" s="100">
        <f t="shared" ref="H3:I27" si="1">F3/5</f>
        <v>11.123106613638509</v>
      </c>
      <c r="I3" s="101">
        <f t="shared" si="1"/>
        <v>24.957188158996793</v>
      </c>
      <c r="J3" s="111">
        <f t="shared" ref="J3:K27" si="2">H3*(50/5)*(1000/150)</f>
        <v>741.54044090923401</v>
      </c>
      <c r="K3" s="102">
        <f t="shared" si="2"/>
        <v>1663.8125439331195</v>
      </c>
      <c r="L3"/>
      <c r="M3"/>
    </row>
    <row r="4" spans="1:15" x14ac:dyDescent="0.2">
      <c r="A4" s="68" t="s">
        <v>16</v>
      </c>
      <c r="B4" s="67">
        <v>45322</v>
      </c>
      <c r="C4" s="68">
        <v>35.4</v>
      </c>
      <c r="D4" s="68">
        <v>35.299999999999997</v>
      </c>
      <c r="E4" s="69">
        <v>0.10000000000000142</v>
      </c>
      <c r="F4" s="86">
        <f t="shared" si="0"/>
        <v>299.49023996082531</v>
      </c>
      <c r="G4" s="87">
        <f t="shared" si="0"/>
        <v>320.35398933497237</v>
      </c>
      <c r="H4" s="100">
        <f t="shared" si="1"/>
        <v>59.898047992165061</v>
      </c>
      <c r="I4" s="101">
        <f t="shared" si="1"/>
        <v>64.070797866994468</v>
      </c>
      <c r="J4" s="103">
        <f t="shared" si="2"/>
        <v>3993.2031994776708</v>
      </c>
      <c r="K4" s="102">
        <f t="shared" si="2"/>
        <v>4271.3865244662975</v>
      </c>
      <c r="L4"/>
      <c r="M4" s="58" t="s">
        <v>501</v>
      </c>
      <c r="N4" s="152"/>
    </row>
    <row r="5" spans="1:15" x14ac:dyDescent="0.2">
      <c r="A5" s="68" t="s">
        <v>23</v>
      </c>
      <c r="B5" s="67">
        <v>45350</v>
      </c>
      <c r="C5" s="68">
        <v>37.6</v>
      </c>
      <c r="D5" s="68">
        <v>39.4</v>
      </c>
      <c r="E5" s="69">
        <v>1.7999999999999972</v>
      </c>
      <c r="F5" s="86">
        <f>10^((C5-43.867)/-3.4191)</f>
        <v>68.067295084211537</v>
      </c>
      <c r="G5" s="87">
        <f t="shared" si="0"/>
        <v>20.252757493547673</v>
      </c>
      <c r="H5" s="100">
        <f t="shared" si="1"/>
        <v>13.613459016842308</v>
      </c>
      <c r="I5" s="101">
        <f t="shared" si="1"/>
        <v>4.0505514987095346</v>
      </c>
      <c r="J5" s="103">
        <f t="shared" si="2"/>
        <v>907.5639344561539</v>
      </c>
      <c r="K5" s="102">
        <f t="shared" si="2"/>
        <v>270.03676658063563</v>
      </c>
      <c r="L5"/>
      <c r="M5" s="104">
        <f>25/61*100</f>
        <v>40.983606557377051</v>
      </c>
      <c r="N5" s="105" t="s">
        <v>502</v>
      </c>
    </row>
    <row r="6" spans="1:15" x14ac:dyDescent="0.2">
      <c r="A6" s="66" t="s">
        <v>32</v>
      </c>
      <c r="B6" s="67">
        <v>45385</v>
      </c>
      <c r="C6" s="68">
        <v>37.700000000000003</v>
      </c>
      <c r="D6" s="68">
        <v>38</v>
      </c>
      <c r="E6" s="69">
        <v>0.29999999999999716</v>
      </c>
      <c r="F6" s="86">
        <f t="shared" si="0"/>
        <v>63.634264647596126</v>
      </c>
      <c r="G6" s="87">
        <f t="shared" si="0"/>
        <v>51.993450678479995</v>
      </c>
      <c r="H6" s="100">
        <f t="shared" si="1"/>
        <v>12.726852929519225</v>
      </c>
      <c r="I6" s="101">
        <f t="shared" si="1"/>
        <v>10.398690135695999</v>
      </c>
      <c r="J6" s="103">
        <f t="shared" si="2"/>
        <v>848.45686196794838</v>
      </c>
      <c r="K6" s="102">
        <f t="shared" si="2"/>
        <v>693.24600904639999</v>
      </c>
      <c r="L6"/>
      <c r="M6"/>
    </row>
    <row r="7" spans="1:15" x14ac:dyDescent="0.2">
      <c r="A7" s="66" t="s">
        <v>35</v>
      </c>
      <c r="B7" s="67">
        <v>45396</v>
      </c>
      <c r="C7" s="68">
        <v>37.6</v>
      </c>
      <c r="D7" s="68">
        <v>37</v>
      </c>
      <c r="E7" s="69">
        <v>0.60000000000000142</v>
      </c>
      <c r="F7" s="86">
        <f t="shared" si="0"/>
        <v>68.067295084211537</v>
      </c>
      <c r="G7" s="87">
        <f t="shared" si="0"/>
        <v>101.95846049329363</v>
      </c>
      <c r="H7" s="100">
        <f t="shared" si="1"/>
        <v>13.613459016842308</v>
      </c>
      <c r="I7" s="101">
        <f t="shared" si="1"/>
        <v>20.391692098658726</v>
      </c>
      <c r="J7" s="103">
        <f t="shared" si="2"/>
        <v>907.5639344561539</v>
      </c>
      <c r="K7" s="102">
        <f t="shared" si="2"/>
        <v>1359.4461399105817</v>
      </c>
      <c r="L7"/>
      <c r="M7"/>
    </row>
    <row r="8" spans="1:15" x14ac:dyDescent="0.2">
      <c r="A8" s="66" t="s">
        <v>36</v>
      </c>
      <c r="B8" s="67">
        <v>45399</v>
      </c>
      <c r="C8" s="68">
        <v>38</v>
      </c>
      <c r="D8" s="68">
        <v>37.799999999999997</v>
      </c>
      <c r="E8" s="69">
        <v>0.20000000000000284</v>
      </c>
      <c r="F8" s="86">
        <f t="shared" si="0"/>
        <v>51.993450678479995</v>
      </c>
      <c r="G8" s="87">
        <f t="shared" si="0"/>
        <v>59.489944946843863</v>
      </c>
      <c r="H8" s="100">
        <f t="shared" si="1"/>
        <v>10.398690135695999</v>
      </c>
      <c r="I8" s="101">
        <f t="shared" si="1"/>
        <v>11.897988989368773</v>
      </c>
      <c r="J8" s="103">
        <f t="shared" si="2"/>
        <v>693.24600904639999</v>
      </c>
      <c r="K8" s="102">
        <f t="shared" si="2"/>
        <v>793.19926595791821</v>
      </c>
      <c r="L8"/>
      <c r="M8"/>
    </row>
    <row r="9" spans="1:15" x14ac:dyDescent="0.2">
      <c r="A9" s="66" t="s">
        <v>52</v>
      </c>
      <c r="B9" s="67">
        <v>45466</v>
      </c>
      <c r="C9" s="68">
        <v>37.799999999999997</v>
      </c>
      <c r="D9" s="68">
        <v>39.5</v>
      </c>
      <c r="E9" s="69">
        <v>1.7000000000000028</v>
      </c>
      <c r="F9" s="86">
        <f t="shared" si="0"/>
        <v>59.489944946843863</v>
      </c>
      <c r="G9" s="87">
        <f t="shared" si="0"/>
        <v>18.933752672168875</v>
      </c>
      <c r="H9" s="100">
        <f t="shared" si="1"/>
        <v>11.897988989368773</v>
      </c>
      <c r="I9" s="101">
        <f t="shared" si="1"/>
        <v>3.7867505344337751</v>
      </c>
      <c r="J9" s="103">
        <f t="shared" si="2"/>
        <v>793.19926595791821</v>
      </c>
      <c r="K9" s="102">
        <f t="shared" si="2"/>
        <v>252.45003562891836</v>
      </c>
      <c r="L9"/>
      <c r="M9"/>
    </row>
    <row r="10" spans="1:15" x14ac:dyDescent="0.2">
      <c r="A10" s="68" t="s">
        <v>53</v>
      </c>
      <c r="B10" s="67">
        <v>45469</v>
      </c>
      <c r="C10" s="68">
        <v>37.1</v>
      </c>
      <c r="D10" s="68">
        <v>38.9</v>
      </c>
      <c r="E10" s="69">
        <v>1.7999999999999972</v>
      </c>
      <c r="F10" s="86">
        <f t="shared" si="0"/>
        <v>95.318194296759245</v>
      </c>
      <c r="G10" s="87">
        <f t="shared" si="0"/>
        <v>28.360995856039231</v>
      </c>
      <c r="H10" s="100">
        <f t="shared" si="1"/>
        <v>19.063638859351848</v>
      </c>
      <c r="I10" s="101">
        <f t="shared" si="1"/>
        <v>5.6721991712078461</v>
      </c>
      <c r="J10" s="103">
        <f t="shared" si="2"/>
        <v>1270.9092572901232</v>
      </c>
      <c r="K10" s="102">
        <f t="shared" si="2"/>
        <v>378.14661141385642</v>
      </c>
      <c r="L10"/>
      <c r="M10"/>
    </row>
    <row r="11" spans="1:15" x14ac:dyDescent="0.2">
      <c r="A11" s="66" t="s">
        <v>65</v>
      </c>
      <c r="B11" s="70">
        <v>45511</v>
      </c>
      <c r="C11" s="68">
        <v>38</v>
      </c>
      <c r="D11" s="68">
        <v>37.4</v>
      </c>
      <c r="E11" s="69">
        <v>0.60000000000000142</v>
      </c>
      <c r="F11" s="86">
        <f t="shared" si="0"/>
        <v>51.993450678479995</v>
      </c>
      <c r="G11" s="87">
        <f t="shared" si="0"/>
        <v>77.881340522688731</v>
      </c>
      <c r="H11" s="100">
        <f t="shared" si="1"/>
        <v>10.398690135695999</v>
      </c>
      <c r="I11" s="101">
        <f t="shared" si="1"/>
        <v>15.576268104537746</v>
      </c>
      <c r="J11" s="103">
        <f t="shared" si="2"/>
        <v>693.24600904639999</v>
      </c>
      <c r="K11" s="102">
        <f t="shared" si="2"/>
        <v>1038.4178736358499</v>
      </c>
      <c r="L11"/>
      <c r="M11"/>
    </row>
    <row r="12" spans="1:15" x14ac:dyDescent="0.2">
      <c r="A12" s="66" t="s">
        <v>80</v>
      </c>
      <c r="B12" s="70">
        <v>45550</v>
      </c>
      <c r="C12" s="68">
        <v>37.5</v>
      </c>
      <c r="D12" s="68">
        <v>38</v>
      </c>
      <c r="E12" s="69">
        <v>0.5</v>
      </c>
      <c r="F12" s="86">
        <f t="shared" si="0"/>
        <v>72.809149060484216</v>
      </c>
      <c r="G12" s="87">
        <f t="shared" si="0"/>
        <v>51.993450678479995</v>
      </c>
      <c r="H12" s="100">
        <f t="shared" si="1"/>
        <v>14.561829812096843</v>
      </c>
      <c r="I12" s="101">
        <f t="shared" si="1"/>
        <v>10.398690135695999</v>
      </c>
      <c r="J12" s="103">
        <f t="shared" si="2"/>
        <v>970.78865413978963</v>
      </c>
      <c r="K12" s="102">
        <f t="shared" si="2"/>
        <v>693.24600904639999</v>
      </c>
      <c r="L12"/>
      <c r="M12"/>
    </row>
    <row r="13" spans="1:15" x14ac:dyDescent="0.2">
      <c r="A13" s="66" t="s">
        <v>81</v>
      </c>
      <c r="B13" s="71" t="s">
        <v>82</v>
      </c>
      <c r="C13" s="68">
        <v>36.700000000000003</v>
      </c>
      <c r="D13" s="68">
        <v>38.5</v>
      </c>
      <c r="E13" s="69">
        <v>1.7999999999999972</v>
      </c>
      <c r="F13" s="86">
        <f t="shared" si="0"/>
        <v>124.78594079498397</v>
      </c>
      <c r="G13" s="87">
        <f t="shared" si="0"/>
        <v>37.128835432616064</v>
      </c>
      <c r="H13" s="100">
        <f t="shared" si="1"/>
        <v>24.957188158996793</v>
      </c>
      <c r="I13" s="101">
        <f t="shared" si="1"/>
        <v>7.425767086523213</v>
      </c>
      <c r="J13" s="103">
        <f t="shared" si="2"/>
        <v>1663.8125439331195</v>
      </c>
      <c r="K13" s="102">
        <f t="shared" si="2"/>
        <v>495.05113910154756</v>
      </c>
      <c r="L13"/>
      <c r="M13"/>
    </row>
    <row r="14" spans="1:15" x14ac:dyDescent="0.2">
      <c r="A14" s="66" t="s">
        <v>90</v>
      </c>
      <c r="B14" s="71" t="s">
        <v>91</v>
      </c>
      <c r="C14" s="68">
        <v>36.700000000000003</v>
      </c>
      <c r="D14" s="68">
        <v>35.9</v>
      </c>
      <c r="E14" s="69">
        <v>0.80000000000000426</v>
      </c>
      <c r="F14" s="86">
        <f t="shared" si="0"/>
        <v>124.78594079498397</v>
      </c>
      <c r="G14" s="87">
        <f t="shared" si="0"/>
        <v>213.86777926979582</v>
      </c>
      <c r="H14" s="100">
        <f t="shared" si="1"/>
        <v>24.957188158996793</v>
      </c>
      <c r="I14" s="101">
        <f t="shared" si="1"/>
        <v>42.773555853959166</v>
      </c>
      <c r="J14" s="103">
        <f t="shared" si="2"/>
        <v>1663.8125439331195</v>
      </c>
      <c r="K14" s="102">
        <f t="shared" si="2"/>
        <v>2851.5703902639448</v>
      </c>
    </row>
    <row r="15" spans="1:15" x14ac:dyDescent="0.2">
      <c r="A15" s="66" t="s">
        <v>94</v>
      </c>
      <c r="B15" s="70">
        <v>45592</v>
      </c>
      <c r="C15" s="68">
        <v>38</v>
      </c>
      <c r="D15" s="68">
        <v>37.4</v>
      </c>
      <c r="E15" s="69">
        <v>0.60000000000000142</v>
      </c>
      <c r="F15" s="86">
        <f t="shared" si="0"/>
        <v>51.993450678479995</v>
      </c>
      <c r="G15" s="87">
        <f t="shared" si="0"/>
        <v>77.881340522688731</v>
      </c>
      <c r="H15" s="100">
        <f t="shared" si="1"/>
        <v>10.398690135695999</v>
      </c>
      <c r="I15" s="101">
        <f t="shared" si="1"/>
        <v>15.576268104537746</v>
      </c>
      <c r="J15" s="103">
        <f t="shared" si="2"/>
        <v>693.24600904639999</v>
      </c>
      <c r="K15" s="102">
        <f t="shared" si="2"/>
        <v>1038.4178736358499</v>
      </c>
    </row>
    <row r="16" spans="1:15" x14ac:dyDescent="0.2">
      <c r="A16" s="68" t="s">
        <v>95</v>
      </c>
      <c r="B16" s="67">
        <v>45595</v>
      </c>
      <c r="C16" s="68">
        <v>37.9</v>
      </c>
      <c r="D16" s="68">
        <v>36.200000000000003</v>
      </c>
      <c r="E16" s="69">
        <v>1.6999999999999957</v>
      </c>
      <c r="F16" s="86">
        <f t="shared" si="0"/>
        <v>55.615533068192541</v>
      </c>
      <c r="G16" s="87">
        <f t="shared" si="0"/>
        <v>174.74428116299737</v>
      </c>
      <c r="H16" s="100">
        <f t="shared" si="1"/>
        <v>11.123106613638509</v>
      </c>
      <c r="I16" s="101">
        <f t="shared" si="1"/>
        <v>34.948856232599475</v>
      </c>
      <c r="J16" s="103">
        <f t="shared" si="2"/>
        <v>741.54044090923401</v>
      </c>
      <c r="K16" s="102">
        <f t="shared" si="2"/>
        <v>2329.9237488399649</v>
      </c>
    </row>
    <row r="17" spans="1:11" x14ac:dyDescent="0.2">
      <c r="A17" s="66" t="s">
        <v>98</v>
      </c>
      <c r="B17" s="71" t="s">
        <v>99</v>
      </c>
      <c r="C17" s="68">
        <v>36.6</v>
      </c>
      <c r="D17" s="68">
        <v>37.6</v>
      </c>
      <c r="E17" s="69">
        <v>1</v>
      </c>
      <c r="F17" s="86">
        <f t="shared" si="0"/>
        <v>133.47905411481787</v>
      </c>
      <c r="G17" s="87">
        <f t="shared" si="0"/>
        <v>68.067295084211537</v>
      </c>
      <c r="H17" s="100">
        <f t="shared" si="1"/>
        <v>26.695810822963573</v>
      </c>
      <c r="I17" s="101">
        <f t="shared" si="1"/>
        <v>13.613459016842308</v>
      </c>
      <c r="J17" s="103">
        <f t="shared" si="2"/>
        <v>1779.7207215309049</v>
      </c>
      <c r="K17" s="102">
        <f t="shared" si="2"/>
        <v>907.5639344561539</v>
      </c>
    </row>
    <row r="18" spans="1:11" x14ac:dyDescent="0.2">
      <c r="A18" s="66" t="s">
        <v>100</v>
      </c>
      <c r="B18" s="71" t="s">
        <v>101</v>
      </c>
      <c r="C18" s="68">
        <v>37</v>
      </c>
      <c r="D18" s="68">
        <v>35.6</v>
      </c>
      <c r="E18" s="69">
        <v>1.3999999999999986</v>
      </c>
      <c r="F18" s="86">
        <f t="shared" si="0"/>
        <v>101.95846049329363</v>
      </c>
      <c r="G18" s="87">
        <f t="shared" si="0"/>
        <v>261.75063759099049</v>
      </c>
      <c r="H18" s="100">
        <f t="shared" si="1"/>
        <v>20.391692098658726</v>
      </c>
      <c r="I18" s="101">
        <f t="shared" si="1"/>
        <v>52.3501275181981</v>
      </c>
      <c r="J18" s="103">
        <f t="shared" si="2"/>
        <v>1359.4461399105817</v>
      </c>
      <c r="K18" s="102">
        <f t="shared" si="2"/>
        <v>3490.0085012132067</v>
      </c>
    </row>
    <row r="19" spans="1:11" x14ac:dyDescent="0.2">
      <c r="A19" s="66" t="s">
        <v>106</v>
      </c>
      <c r="B19" s="71" t="s">
        <v>107</v>
      </c>
      <c r="C19" s="68">
        <v>37.700000000000003</v>
      </c>
      <c r="D19" s="68">
        <v>38.4</v>
      </c>
      <c r="E19" s="69">
        <v>0.69999999999999574</v>
      </c>
      <c r="F19" s="86">
        <f t="shared" si="0"/>
        <v>63.634264647596126</v>
      </c>
      <c r="G19" s="87">
        <f t="shared" si="0"/>
        <v>39.715386223457777</v>
      </c>
      <c r="H19" s="100">
        <f t="shared" si="1"/>
        <v>12.726852929519225</v>
      </c>
      <c r="I19" s="101">
        <f t="shared" si="1"/>
        <v>7.9430772446915556</v>
      </c>
      <c r="J19" s="103">
        <f t="shared" si="2"/>
        <v>848.45686196794838</v>
      </c>
      <c r="K19" s="102">
        <f t="shared" si="2"/>
        <v>529.53848297943705</v>
      </c>
    </row>
    <row r="20" spans="1:11" x14ac:dyDescent="0.2">
      <c r="A20" s="66" t="s">
        <v>111</v>
      </c>
      <c r="B20" s="71" t="s">
        <v>112</v>
      </c>
      <c r="C20" s="68">
        <v>37.6</v>
      </c>
      <c r="D20" s="68">
        <v>37.299999999999997</v>
      </c>
      <c r="E20" s="69">
        <v>0.30000000000000426</v>
      </c>
      <c r="F20" s="86">
        <f t="shared" si="0"/>
        <v>68.067295084211537</v>
      </c>
      <c r="G20" s="87">
        <f t="shared" si="0"/>
        <v>83.306882169055982</v>
      </c>
      <c r="H20" s="100">
        <f t="shared" si="1"/>
        <v>13.613459016842308</v>
      </c>
      <c r="I20" s="101">
        <f t="shared" si="1"/>
        <v>16.661376433811196</v>
      </c>
      <c r="J20" s="103">
        <f t="shared" si="2"/>
        <v>907.5639344561539</v>
      </c>
      <c r="K20" s="102">
        <f t="shared" si="2"/>
        <v>1110.7584289207464</v>
      </c>
    </row>
    <row r="21" spans="1:11" x14ac:dyDescent="0.2">
      <c r="A21" s="66" t="s">
        <v>113</v>
      </c>
      <c r="B21" s="71" t="s">
        <v>114</v>
      </c>
      <c r="C21" s="68">
        <v>37.4</v>
      </c>
      <c r="D21" s="68">
        <v>38.1</v>
      </c>
      <c r="E21" s="69">
        <v>0.70000000000000284</v>
      </c>
      <c r="F21" s="86">
        <f t="shared" si="0"/>
        <v>77.881340522688731</v>
      </c>
      <c r="G21" s="87">
        <f t="shared" si="0"/>
        <v>48.607264271671731</v>
      </c>
      <c r="H21" s="100">
        <f t="shared" si="1"/>
        <v>15.576268104537746</v>
      </c>
      <c r="I21" s="101">
        <f t="shared" si="1"/>
        <v>9.7214528543343466</v>
      </c>
      <c r="J21" s="103">
        <f t="shared" si="2"/>
        <v>1038.4178736358499</v>
      </c>
      <c r="K21" s="102">
        <f t="shared" si="2"/>
        <v>648.09685695562314</v>
      </c>
    </row>
    <row r="22" spans="1:11" x14ac:dyDescent="0.2">
      <c r="A22" s="66" t="s">
        <v>115</v>
      </c>
      <c r="B22" s="70">
        <v>45637</v>
      </c>
      <c r="C22" s="68">
        <v>37.6</v>
      </c>
      <c r="D22" s="68">
        <v>39.299999999999997</v>
      </c>
      <c r="E22" s="69">
        <v>1.6999999999999957</v>
      </c>
      <c r="F22" s="86">
        <f t="shared" si="0"/>
        <v>68.067295084211537</v>
      </c>
      <c r="G22" s="87">
        <f t="shared" si="0"/>
        <v>21.663649736767454</v>
      </c>
      <c r="H22" s="100">
        <f t="shared" si="1"/>
        <v>13.613459016842308</v>
      </c>
      <c r="I22" s="101">
        <f t="shared" si="1"/>
        <v>4.3327299473534904</v>
      </c>
      <c r="J22" s="103">
        <f t="shared" si="2"/>
        <v>907.5639344561539</v>
      </c>
      <c r="K22" s="102">
        <f t="shared" si="2"/>
        <v>288.84866315689942</v>
      </c>
    </row>
    <row r="23" spans="1:11" x14ac:dyDescent="0.2">
      <c r="A23" s="68" t="s">
        <v>122</v>
      </c>
      <c r="B23" s="67">
        <v>45651</v>
      </c>
      <c r="C23" s="68">
        <v>38.1</v>
      </c>
      <c r="D23" s="68">
        <v>39.4</v>
      </c>
      <c r="E23" s="69">
        <v>1.2999999999999972</v>
      </c>
      <c r="F23" s="86">
        <f t="shared" si="0"/>
        <v>48.607264271671731</v>
      </c>
      <c r="G23" s="87">
        <f t="shared" si="0"/>
        <v>20.252757493547673</v>
      </c>
      <c r="H23" s="100">
        <f t="shared" si="1"/>
        <v>9.7214528543343466</v>
      </c>
      <c r="I23" s="101">
        <f t="shared" si="1"/>
        <v>4.0505514987095346</v>
      </c>
      <c r="J23" s="103">
        <f t="shared" si="2"/>
        <v>648.09685695562314</v>
      </c>
      <c r="K23" s="102">
        <f t="shared" si="2"/>
        <v>270.03676658063563</v>
      </c>
    </row>
    <row r="24" spans="1:11" x14ac:dyDescent="0.2">
      <c r="A24" s="66" t="s">
        <v>123</v>
      </c>
      <c r="B24" s="71" t="s">
        <v>124</v>
      </c>
      <c r="C24" s="68">
        <v>37.4</v>
      </c>
      <c r="D24" s="68">
        <v>37.200000000000003</v>
      </c>
      <c r="E24" s="69">
        <v>0.19999999999999574</v>
      </c>
      <c r="F24" s="86">
        <f t="shared" si="0"/>
        <v>77.881340522688731</v>
      </c>
      <c r="G24" s="87">
        <f t="shared" si="0"/>
        <v>89.110389859136362</v>
      </c>
      <c r="H24" s="100">
        <f t="shared" si="1"/>
        <v>15.576268104537746</v>
      </c>
      <c r="I24" s="101">
        <f t="shared" si="1"/>
        <v>17.822077971827273</v>
      </c>
      <c r="J24" s="103">
        <f t="shared" si="2"/>
        <v>1038.4178736358499</v>
      </c>
      <c r="K24" s="102">
        <f t="shared" si="2"/>
        <v>1188.1385314551515</v>
      </c>
    </row>
    <row r="25" spans="1:11" x14ac:dyDescent="0.2">
      <c r="A25" s="66" t="s">
        <v>127</v>
      </c>
      <c r="B25" s="71" t="s">
        <v>128</v>
      </c>
      <c r="C25" s="68">
        <v>34.9</v>
      </c>
      <c r="D25" s="68">
        <v>34.700000000000003</v>
      </c>
      <c r="E25" s="69">
        <v>0.19999999999999574</v>
      </c>
      <c r="F25" s="86">
        <f t="shared" si="0"/>
        <v>419.39185106814284</v>
      </c>
      <c r="G25" s="87">
        <f t="shared" si="0"/>
        <v>479.86040175489364</v>
      </c>
      <c r="H25" s="100">
        <f t="shared" si="1"/>
        <v>83.878370213628571</v>
      </c>
      <c r="I25" s="101">
        <f t="shared" si="1"/>
        <v>95.972080350978729</v>
      </c>
      <c r="J25" s="103">
        <f t="shared" si="2"/>
        <v>5591.8913475752379</v>
      </c>
      <c r="K25" s="102">
        <f t="shared" si="2"/>
        <v>6398.1386900652487</v>
      </c>
    </row>
    <row r="26" spans="1:11" x14ac:dyDescent="0.2">
      <c r="A26" s="66" t="s">
        <v>129</v>
      </c>
      <c r="B26" s="70">
        <v>45665</v>
      </c>
      <c r="C26" s="68">
        <v>37.4</v>
      </c>
      <c r="D26" s="68">
        <v>37.4</v>
      </c>
      <c r="E26" s="69">
        <v>0</v>
      </c>
      <c r="F26" s="86">
        <f t="shared" si="0"/>
        <v>77.881340522688731</v>
      </c>
      <c r="G26" s="87">
        <f t="shared" si="0"/>
        <v>77.881340522688731</v>
      </c>
      <c r="H26" s="100">
        <f t="shared" si="1"/>
        <v>15.576268104537746</v>
      </c>
      <c r="I26" s="101">
        <f t="shared" si="1"/>
        <v>15.576268104537746</v>
      </c>
      <c r="J26" s="103">
        <f t="shared" si="2"/>
        <v>1038.4178736358499</v>
      </c>
      <c r="K26" s="102">
        <f t="shared" si="2"/>
        <v>1038.4178736358499</v>
      </c>
    </row>
    <row r="27" spans="1:11" ht="17" thickBot="1" x14ac:dyDescent="0.25">
      <c r="A27" s="66" t="s">
        <v>131</v>
      </c>
      <c r="B27" s="71" t="s">
        <v>132</v>
      </c>
      <c r="C27" s="68">
        <v>37.1</v>
      </c>
      <c r="D27" s="68">
        <v>35.700000000000003</v>
      </c>
      <c r="E27" s="69">
        <v>1.3999999999999986</v>
      </c>
      <c r="F27" s="86">
        <f t="shared" si="0"/>
        <v>95.318194296759245</v>
      </c>
      <c r="G27" s="87">
        <f t="shared" si="0"/>
        <v>244.70355878745067</v>
      </c>
      <c r="H27" s="100">
        <f t="shared" si="1"/>
        <v>19.063638859351848</v>
      </c>
      <c r="I27" s="101">
        <f t="shared" si="1"/>
        <v>48.940711757490135</v>
      </c>
      <c r="J27" s="112">
        <f t="shared" si="2"/>
        <v>1270.9092572901232</v>
      </c>
      <c r="K27" s="102">
        <f t="shared" si="2"/>
        <v>3262.7141171660091</v>
      </c>
    </row>
    <row r="28" spans="1:11" x14ac:dyDescent="0.2">
      <c r="C28" s="72"/>
    </row>
  </sheetData>
  <mergeCells count="2"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Hautes fréquences</vt:lpstr>
      <vt:lpstr>Données débits manquants</vt:lpstr>
      <vt:lpstr>Parametres physocochimiques</vt:lpstr>
      <vt:lpstr>HPV 66</vt:lpstr>
      <vt:lpstr>HPV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pauline.michon@sorbonne-universite.fr</dc:creator>
  <cp:lastModifiedBy>pauline.michon@sorbonne-universite.fr</cp:lastModifiedBy>
  <dcterms:created xsi:type="dcterms:W3CDTF">2025-09-08T07:30:41Z</dcterms:created>
  <dcterms:modified xsi:type="dcterms:W3CDTF">2025-09-08T08:27:27Z</dcterms:modified>
</cp:coreProperties>
</file>