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inemichon/Documents/Pauline Travail/Projet Papillomavirus/Resultats/Paris/Papiers/"/>
    </mc:Choice>
  </mc:AlternateContent>
  <xr:revisionPtr revIDLastSave="0" documentId="8_{0A73E8C2-832E-EE49-8944-4574317F5076}" xr6:coauthVersionLast="47" xr6:coauthVersionMax="47" xr10:uidLastSave="{00000000-0000-0000-0000-000000000000}"/>
  <bookViews>
    <workbookView xWindow="480" yWindow="1180" windowWidth="25040" windowHeight="14460" activeTab="1" xr2:uid="{E4979CFB-1AF3-4045-A1C5-62D3A0AB751B}"/>
  </bookViews>
  <sheets>
    <sheet name="HPV 66" sheetId="1" r:id="rId1"/>
    <sheet name="HPV 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2" l="1"/>
  <c r="I63" i="2" s="1"/>
  <c r="K63" i="2" s="1"/>
  <c r="F63" i="2"/>
  <c r="H63" i="2" s="1"/>
  <c r="J63" i="2" s="1"/>
  <c r="J62" i="2"/>
  <c r="I62" i="2"/>
  <c r="K62" i="2" s="1"/>
  <c r="H62" i="2"/>
  <c r="G62" i="2"/>
  <c r="F62" i="2"/>
  <c r="I61" i="2"/>
  <c r="K61" i="2" s="1"/>
  <c r="G61" i="2"/>
  <c r="F61" i="2"/>
  <c r="H61" i="2" s="1"/>
  <c r="J61" i="2" s="1"/>
  <c r="G60" i="2"/>
  <c r="I60" i="2" s="1"/>
  <c r="K60" i="2" s="1"/>
  <c r="F60" i="2"/>
  <c r="H60" i="2" s="1"/>
  <c r="J60" i="2" s="1"/>
  <c r="H59" i="2"/>
  <c r="J59" i="2" s="1"/>
  <c r="G59" i="2"/>
  <c r="I59" i="2" s="1"/>
  <c r="K59" i="2" s="1"/>
  <c r="F59" i="2"/>
  <c r="G58" i="2"/>
  <c r="I58" i="2" s="1"/>
  <c r="K58" i="2" s="1"/>
  <c r="F58" i="2"/>
  <c r="H58" i="2" s="1"/>
  <c r="J58" i="2" s="1"/>
  <c r="J57" i="2"/>
  <c r="I57" i="2"/>
  <c r="K57" i="2" s="1"/>
  <c r="H57" i="2"/>
  <c r="G57" i="2"/>
  <c r="F57" i="2"/>
  <c r="I56" i="2"/>
  <c r="K56" i="2" s="1"/>
  <c r="G56" i="2"/>
  <c r="F56" i="2"/>
  <c r="H56" i="2" s="1"/>
  <c r="J56" i="2" s="1"/>
  <c r="G55" i="2"/>
  <c r="I55" i="2" s="1"/>
  <c r="K55" i="2" s="1"/>
  <c r="F55" i="2"/>
  <c r="H55" i="2" s="1"/>
  <c r="J55" i="2" s="1"/>
  <c r="H54" i="2"/>
  <c r="J54" i="2" s="1"/>
  <c r="G54" i="2"/>
  <c r="I54" i="2" s="1"/>
  <c r="K54" i="2" s="1"/>
  <c r="F54" i="2"/>
  <c r="G53" i="2"/>
  <c r="I53" i="2" s="1"/>
  <c r="K53" i="2" s="1"/>
  <c r="F53" i="2"/>
  <c r="H53" i="2" s="1"/>
  <c r="J53" i="2" s="1"/>
  <c r="J52" i="2"/>
  <c r="I52" i="2"/>
  <c r="K52" i="2" s="1"/>
  <c r="H52" i="2"/>
  <c r="G52" i="2"/>
  <c r="F52" i="2"/>
  <c r="I51" i="2"/>
  <c r="K51" i="2" s="1"/>
  <c r="G51" i="2"/>
  <c r="F51" i="2"/>
  <c r="H51" i="2" s="1"/>
  <c r="J51" i="2" s="1"/>
  <c r="G50" i="2"/>
  <c r="I50" i="2" s="1"/>
  <c r="K50" i="2" s="1"/>
  <c r="F50" i="2"/>
  <c r="H50" i="2" s="1"/>
  <c r="J50" i="2" s="1"/>
  <c r="H49" i="2"/>
  <c r="J49" i="2" s="1"/>
  <c r="G49" i="2"/>
  <c r="I49" i="2" s="1"/>
  <c r="K49" i="2" s="1"/>
  <c r="F49" i="2"/>
  <c r="G48" i="2"/>
  <c r="I48" i="2" s="1"/>
  <c r="K48" i="2" s="1"/>
  <c r="F48" i="2"/>
  <c r="H48" i="2" s="1"/>
  <c r="J48" i="2" s="1"/>
  <c r="J47" i="2"/>
  <c r="I47" i="2"/>
  <c r="K47" i="2" s="1"/>
  <c r="H47" i="2"/>
  <c r="G47" i="2"/>
  <c r="F47" i="2"/>
  <c r="I46" i="2"/>
  <c r="K46" i="2" s="1"/>
  <c r="G46" i="2"/>
  <c r="F46" i="2"/>
  <c r="H46" i="2" s="1"/>
  <c r="J46" i="2" s="1"/>
  <c r="K45" i="2"/>
  <c r="I45" i="2"/>
  <c r="G45" i="2"/>
  <c r="F45" i="2"/>
  <c r="H45" i="2" s="1"/>
  <c r="J45" i="2" s="1"/>
  <c r="H44" i="2"/>
  <c r="J44" i="2" s="1"/>
  <c r="G44" i="2"/>
  <c r="I44" i="2" s="1"/>
  <c r="K44" i="2" s="1"/>
  <c r="F44" i="2"/>
  <c r="G43" i="2"/>
  <c r="I43" i="2" s="1"/>
  <c r="K43" i="2" s="1"/>
  <c r="F43" i="2"/>
  <c r="H43" i="2" s="1"/>
  <c r="J43" i="2" s="1"/>
  <c r="J42" i="2"/>
  <c r="I42" i="2"/>
  <c r="K42" i="2" s="1"/>
  <c r="H42" i="2"/>
  <c r="G42" i="2"/>
  <c r="F42" i="2"/>
  <c r="G41" i="2"/>
  <c r="I41" i="2" s="1"/>
  <c r="K41" i="2" s="1"/>
  <c r="F41" i="2"/>
  <c r="H41" i="2" s="1"/>
  <c r="J41" i="2" s="1"/>
  <c r="K40" i="2"/>
  <c r="I40" i="2"/>
  <c r="G40" i="2"/>
  <c r="F40" i="2"/>
  <c r="H40" i="2" s="1"/>
  <c r="J40" i="2" s="1"/>
  <c r="H39" i="2"/>
  <c r="J39" i="2" s="1"/>
  <c r="G39" i="2"/>
  <c r="I39" i="2" s="1"/>
  <c r="K39" i="2" s="1"/>
  <c r="F39" i="2"/>
  <c r="G38" i="2"/>
  <c r="I38" i="2" s="1"/>
  <c r="K38" i="2" s="1"/>
  <c r="F38" i="2"/>
  <c r="H38" i="2" s="1"/>
  <c r="J38" i="2" s="1"/>
  <c r="J37" i="2"/>
  <c r="I37" i="2"/>
  <c r="K37" i="2" s="1"/>
  <c r="H37" i="2"/>
  <c r="G37" i="2"/>
  <c r="F37" i="2"/>
  <c r="G36" i="2"/>
  <c r="I36" i="2" s="1"/>
  <c r="K36" i="2" s="1"/>
  <c r="F36" i="2"/>
  <c r="H36" i="2" s="1"/>
  <c r="J36" i="2" s="1"/>
  <c r="K35" i="2"/>
  <c r="I35" i="2"/>
  <c r="G35" i="2"/>
  <c r="F35" i="2"/>
  <c r="H35" i="2" s="1"/>
  <c r="J35" i="2" s="1"/>
  <c r="H34" i="2"/>
  <c r="J34" i="2" s="1"/>
  <c r="G34" i="2"/>
  <c r="I34" i="2" s="1"/>
  <c r="K34" i="2" s="1"/>
  <c r="F34" i="2"/>
  <c r="G33" i="2"/>
  <c r="I33" i="2" s="1"/>
  <c r="K33" i="2" s="1"/>
  <c r="F33" i="2"/>
  <c r="H33" i="2" s="1"/>
  <c r="J33" i="2" s="1"/>
  <c r="J32" i="2"/>
  <c r="I32" i="2"/>
  <c r="K32" i="2" s="1"/>
  <c r="H32" i="2"/>
  <c r="G32" i="2"/>
  <c r="F32" i="2"/>
  <c r="G31" i="2"/>
  <c r="I31" i="2" s="1"/>
  <c r="K31" i="2" s="1"/>
  <c r="F31" i="2"/>
  <c r="H31" i="2" s="1"/>
  <c r="J31" i="2" s="1"/>
  <c r="K30" i="2"/>
  <c r="I30" i="2"/>
  <c r="G30" i="2"/>
  <c r="F30" i="2"/>
  <c r="H30" i="2" s="1"/>
  <c r="J30" i="2" s="1"/>
  <c r="H29" i="2"/>
  <c r="J29" i="2" s="1"/>
  <c r="G29" i="2"/>
  <c r="I29" i="2" s="1"/>
  <c r="K29" i="2" s="1"/>
  <c r="F29" i="2"/>
  <c r="G28" i="2"/>
  <c r="I28" i="2" s="1"/>
  <c r="K28" i="2" s="1"/>
  <c r="F28" i="2"/>
  <c r="H28" i="2" s="1"/>
  <c r="J28" i="2" s="1"/>
  <c r="J27" i="2"/>
  <c r="I27" i="2"/>
  <c r="K27" i="2" s="1"/>
  <c r="H27" i="2"/>
  <c r="G27" i="2"/>
  <c r="F27" i="2"/>
  <c r="G26" i="2"/>
  <c r="I26" i="2" s="1"/>
  <c r="K26" i="2" s="1"/>
  <c r="F26" i="2"/>
  <c r="H26" i="2" s="1"/>
  <c r="J26" i="2" s="1"/>
  <c r="K25" i="2"/>
  <c r="I25" i="2"/>
  <c r="G25" i="2"/>
  <c r="F25" i="2"/>
  <c r="H25" i="2" s="1"/>
  <c r="J25" i="2" s="1"/>
  <c r="H24" i="2"/>
  <c r="J24" i="2" s="1"/>
  <c r="G24" i="2"/>
  <c r="I24" i="2" s="1"/>
  <c r="K24" i="2" s="1"/>
  <c r="F24" i="2"/>
  <c r="G23" i="2"/>
  <c r="I23" i="2" s="1"/>
  <c r="K23" i="2" s="1"/>
  <c r="F23" i="2"/>
  <c r="H23" i="2" s="1"/>
  <c r="J23" i="2" s="1"/>
  <c r="J22" i="2"/>
  <c r="I22" i="2"/>
  <c r="K22" i="2" s="1"/>
  <c r="H22" i="2"/>
  <c r="G22" i="2"/>
  <c r="F22" i="2"/>
  <c r="G21" i="2"/>
  <c r="I21" i="2" s="1"/>
  <c r="K21" i="2" s="1"/>
  <c r="F21" i="2"/>
  <c r="H21" i="2" s="1"/>
  <c r="J21" i="2" s="1"/>
  <c r="K20" i="2"/>
  <c r="I20" i="2"/>
  <c r="G20" i="2"/>
  <c r="F20" i="2"/>
  <c r="H20" i="2" s="1"/>
  <c r="J20" i="2" s="1"/>
  <c r="H19" i="2"/>
  <c r="J19" i="2" s="1"/>
  <c r="G19" i="2"/>
  <c r="I19" i="2" s="1"/>
  <c r="K19" i="2" s="1"/>
  <c r="F19" i="2"/>
  <c r="G18" i="2"/>
  <c r="I18" i="2" s="1"/>
  <c r="K18" i="2" s="1"/>
  <c r="F18" i="2"/>
  <c r="H18" i="2" s="1"/>
  <c r="J18" i="2" s="1"/>
  <c r="J17" i="2"/>
  <c r="I17" i="2"/>
  <c r="K17" i="2" s="1"/>
  <c r="H17" i="2"/>
  <c r="G17" i="2"/>
  <c r="F17" i="2"/>
  <c r="I16" i="2"/>
  <c r="K16" i="2" s="1"/>
  <c r="G16" i="2"/>
  <c r="F16" i="2"/>
  <c r="H16" i="2" s="1"/>
  <c r="J16" i="2" s="1"/>
  <c r="K15" i="2"/>
  <c r="I15" i="2"/>
  <c r="G15" i="2"/>
  <c r="F15" i="2"/>
  <c r="H15" i="2" s="1"/>
  <c r="J15" i="2" s="1"/>
  <c r="H14" i="2"/>
  <c r="J14" i="2" s="1"/>
  <c r="G14" i="2"/>
  <c r="I14" i="2" s="1"/>
  <c r="K14" i="2" s="1"/>
  <c r="F14" i="2"/>
  <c r="G13" i="2"/>
  <c r="I13" i="2" s="1"/>
  <c r="K13" i="2" s="1"/>
  <c r="F13" i="2"/>
  <c r="H13" i="2" s="1"/>
  <c r="J13" i="2" s="1"/>
  <c r="J12" i="2"/>
  <c r="I12" i="2"/>
  <c r="K12" i="2" s="1"/>
  <c r="H12" i="2"/>
  <c r="G12" i="2"/>
  <c r="F12" i="2"/>
  <c r="I11" i="2"/>
  <c r="K11" i="2" s="1"/>
  <c r="G11" i="2"/>
  <c r="F11" i="2"/>
  <c r="H11" i="2" s="1"/>
  <c r="J11" i="2" s="1"/>
  <c r="K10" i="2"/>
  <c r="I10" i="2"/>
  <c r="G10" i="2"/>
  <c r="F10" i="2"/>
  <c r="H10" i="2" s="1"/>
  <c r="J10" i="2" s="1"/>
  <c r="H9" i="2"/>
  <c r="J9" i="2" s="1"/>
  <c r="G9" i="2"/>
  <c r="I9" i="2" s="1"/>
  <c r="K9" i="2" s="1"/>
  <c r="F9" i="2"/>
  <c r="G8" i="2"/>
  <c r="I8" i="2" s="1"/>
  <c r="K8" i="2" s="1"/>
  <c r="F8" i="2"/>
  <c r="H8" i="2" s="1"/>
  <c r="J8" i="2" s="1"/>
  <c r="J7" i="2"/>
  <c r="I7" i="2"/>
  <c r="K7" i="2" s="1"/>
  <c r="H7" i="2"/>
  <c r="G7" i="2"/>
  <c r="F7" i="2"/>
  <c r="I6" i="2"/>
  <c r="K6" i="2" s="1"/>
  <c r="G6" i="2"/>
  <c r="F6" i="2"/>
  <c r="H6" i="2" s="1"/>
  <c r="J6" i="2" s="1"/>
  <c r="N5" i="2"/>
  <c r="G5" i="2"/>
  <c r="I5" i="2" s="1"/>
  <c r="K5" i="2" s="1"/>
  <c r="F5" i="2"/>
  <c r="H5" i="2" s="1"/>
  <c r="J5" i="2" s="1"/>
  <c r="I4" i="2"/>
  <c r="K4" i="2" s="1"/>
  <c r="H4" i="2"/>
  <c r="J4" i="2" s="1"/>
  <c r="G4" i="2"/>
  <c r="F4" i="2"/>
  <c r="H3" i="2"/>
  <c r="J3" i="2" s="1"/>
  <c r="G3" i="2"/>
  <c r="I3" i="2" s="1"/>
  <c r="K3" i="2" s="1"/>
  <c r="F3" i="2"/>
  <c r="G81" i="1"/>
  <c r="I81" i="1" s="1"/>
  <c r="K81" i="1" s="1"/>
  <c r="F81" i="1"/>
  <c r="H81" i="1" s="1"/>
  <c r="J81" i="1" s="1"/>
  <c r="J80" i="1"/>
  <c r="H80" i="1"/>
  <c r="G80" i="1"/>
  <c r="I80" i="1" s="1"/>
  <c r="K80" i="1" s="1"/>
  <c r="F80" i="1"/>
  <c r="G79" i="1"/>
  <c r="I79" i="1" s="1"/>
  <c r="K79" i="1" s="1"/>
  <c r="F79" i="1"/>
  <c r="H79" i="1" s="1"/>
  <c r="J79" i="1" s="1"/>
  <c r="G78" i="1"/>
  <c r="I78" i="1" s="1"/>
  <c r="K78" i="1" s="1"/>
  <c r="F78" i="1"/>
  <c r="H78" i="1" s="1"/>
  <c r="J78" i="1" s="1"/>
  <c r="I77" i="1"/>
  <c r="K77" i="1" s="1"/>
  <c r="H77" i="1"/>
  <c r="J77" i="1" s="1"/>
  <c r="G77" i="1"/>
  <c r="F77" i="1"/>
  <c r="G76" i="1"/>
  <c r="I76" i="1" s="1"/>
  <c r="K76" i="1" s="1"/>
  <c r="F76" i="1"/>
  <c r="H76" i="1" s="1"/>
  <c r="J76" i="1" s="1"/>
  <c r="J75" i="1"/>
  <c r="H75" i="1"/>
  <c r="G75" i="1"/>
  <c r="I75" i="1" s="1"/>
  <c r="K75" i="1" s="1"/>
  <c r="F75" i="1"/>
  <c r="G74" i="1"/>
  <c r="I74" i="1" s="1"/>
  <c r="K74" i="1" s="1"/>
  <c r="F74" i="1"/>
  <c r="H74" i="1" s="1"/>
  <c r="J74" i="1" s="1"/>
  <c r="G73" i="1"/>
  <c r="I73" i="1" s="1"/>
  <c r="K73" i="1" s="1"/>
  <c r="F73" i="1"/>
  <c r="H73" i="1" s="1"/>
  <c r="J73" i="1" s="1"/>
  <c r="I72" i="1"/>
  <c r="K72" i="1" s="1"/>
  <c r="H72" i="1"/>
  <c r="J72" i="1" s="1"/>
  <c r="G72" i="1"/>
  <c r="F72" i="1"/>
  <c r="G71" i="1"/>
  <c r="I71" i="1" s="1"/>
  <c r="K71" i="1" s="1"/>
  <c r="F71" i="1"/>
  <c r="H71" i="1" s="1"/>
  <c r="J71" i="1" s="1"/>
  <c r="J70" i="1"/>
  <c r="H70" i="1"/>
  <c r="G70" i="1"/>
  <c r="I70" i="1" s="1"/>
  <c r="K70" i="1" s="1"/>
  <c r="F70" i="1"/>
  <c r="G69" i="1"/>
  <c r="I69" i="1" s="1"/>
  <c r="K69" i="1" s="1"/>
  <c r="F69" i="1"/>
  <c r="H69" i="1" s="1"/>
  <c r="J69" i="1" s="1"/>
  <c r="G68" i="1"/>
  <c r="I68" i="1" s="1"/>
  <c r="K68" i="1" s="1"/>
  <c r="F68" i="1"/>
  <c r="H68" i="1" s="1"/>
  <c r="J68" i="1" s="1"/>
  <c r="I67" i="1"/>
  <c r="K67" i="1" s="1"/>
  <c r="H67" i="1"/>
  <c r="J67" i="1" s="1"/>
  <c r="G67" i="1"/>
  <c r="F67" i="1"/>
  <c r="G66" i="1"/>
  <c r="I66" i="1" s="1"/>
  <c r="K66" i="1" s="1"/>
  <c r="F66" i="1"/>
  <c r="H66" i="1" s="1"/>
  <c r="J66" i="1" s="1"/>
  <c r="J65" i="1"/>
  <c r="H65" i="1"/>
  <c r="G65" i="1"/>
  <c r="I65" i="1" s="1"/>
  <c r="K65" i="1" s="1"/>
  <c r="F65" i="1"/>
  <c r="G64" i="1"/>
  <c r="I64" i="1" s="1"/>
  <c r="K64" i="1" s="1"/>
  <c r="F64" i="1"/>
  <c r="H64" i="1" s="1"/>
  <c r="J64" i="1" s="1"/>
  <c r="G63" i="1"/>
  <c r="I63" i="1" s="1"/>
  <c r="K63" i="1" s="1"/>
  <c r="F63" i="1"/>
  <c r="H63" i="1" s="1"/>
  <c r="J63" i="1" s="1"/>
  <c r="I62" i="1"/>
  <c r="K62" i="1" s="1"/>
  <c r="H62" i="1"/>
  <c r="J62" i="1" s="1"/>
  <c r="G62" i="1"/>
  <c r="F62" i="1"/>
  <c r="G61" i="1"/>
  <c r="I61" i="1" s="1"/>
  <c r="K61" i="1" s="1"/>
  <c r="F61" i="1"/>
  <c r="H61" i="1" s="1"/>
  <c r="J61" i="1" s="1"/>
  <c r="J60" i="1"/>
  <c r="H60" i="1"/>
  <c r="G60" i="1"/>
  <c r="I60" i="1" s="1"/>
  <c r="K60" i="1" s="1"/>
  <c r="F60" i="1"/>
  <c r="G59" i="1"/>
  <c r="I59" i="1" s="1"/>
  <c r="K59" i="1" s="1"/>
  <c r="F59" i="1"/>
  <c r="H59" i="1" s="1"/>
  <c r="J59" i="1" s="1"/>
  <c r="G58" i="1"/>
  <c r="I58" i="1" s="1"/>
  <c r="K58" i="1" s="1"/>
  <c r="F58" i="1"/>
  <c r="H58" i="1" s="1"/>
  <c r="J58" i="1" s="1"/>
  <c r="I57" i="1"/>
  <c r="K57" i="1" s="1"/>
  <c r="H57" i="1"/>
  <c r="J57" i="1" s="1"/>
  <c r="G57" i="1"/>
  <c r="F57" i="1"/>
  <c r="G56" i="1"/>
  <c r="I56" i="1" s="1"/>
  <c r="K56" i="1" s="1"/>
  <c r="F56" i="1"/>
  <c r="H56" i="1" s="1"/>
  <c r="J56" i="1" s="1"/>
  <c r="J55" i="1"/>
  <c r="H55" i="1"/>
  <c r="G55" i="1"/>
  <c r="I55" i="1" s="1"/>
  <c r="K55" i="1" s="1"/>
  <c r="F55" i="1"/>
  <c r="G54" i="1"/>
  <c r="I54" i="1" s="1"/>
  <c r="K54" i="1" s="1"/>
  <c r="F54" i="1"/>
  <c r="H54" i="1" s="1"/>
  <c r="J54" i="1" s="1"/>
  <c r="G53" i="1"/>
  <c r="I53" i="1" s="1"/>
  <c r="K53" i="1" s="1"/>
  <c r="F53" i="1"/>
  <c r="H53" i="1" s="1"/>
  <c r="J53" i="1" s="1"/>
  <c r="I52" i="1"/>
  <c r="K52" i="1" s="1"/>
  <c r="H52" i="1"/>
  <c r="J52" i="1" s="1"/>
  <c r="G52" i="1"/>
  <c r="F52" i="1"/>
  <c r="G51" i="1"/>
  <c r="I51" i="1" s="1"/>
  <c r="K51" i="1" s="1"/>
  <c r="F51" i="1"/>
  <c r="H51" i="1" s="1"/>
  <c r="J51" i="1" s="1"/>
  <c r="J50" i="1"/>
  <c r="H50" i="1"/>
  <c r="G50" i="1"/>
  <c r="I50" i="1" s="1"/>
  <c r="K50" i="1" s="1"/>
  <c r="F50" i="1"/>
  <c r="G49" i="1"/>
  <c r="I49" i="1" s="1"/>
  <c r="K49" i="1" s="1"/>
  <c r="F49" i="1"/>
  <c r="H49" i="1" s="1"/>
  <c r="J49" i="1" s="1"/>
  <c r="G48" i="1"/>
  <c r="I48" i="1" s="1"/>
  <c r="K48" i="1" s="1"/>
  <c r="F48" i="1"/>
  <c r="H48" i="1" s="1"/>
  <c r="J48" i="1" s="1"/>
  <c r="I47" i="1"/>
  <c r="K47" i="1" s="1"/>
  <c r="H47" i="1"/>
  <c r="J47" i="1" s="1"/>
  <c r="G47" i="1"/>
  <c r="F47" i="1"/>
  <c r="G46" i="1"/>
  <c r="I46" i="1" s="1"/>
  <c r="K46" i="1" s="1"/>
  <c r="F46" i="1"/>
  <c r="H46" i="1" s="1"/>
  <c r="J46" i="1" s="1"/>
  <c r="J45" i="1"/>
  <c r="H45" i="1"/>
  <c r="G45" i="1"/>
  <c r="I45" i="1" s="1"/>
  <c r="K45" i="1" s="1"/>
  <c r="F45" i="1"/>
  <c r="G44" i="1"/>
  <c r="I44" i="1" s="1"/>
  <c r="K44" i="1" s="1"/>
  <c r="F44" i="1"/>
  <c r="H44" i="1" s="1"/>
  <c r="J44" i="1" s="1"/>
  <c r="G43" i="1"/>
  <c r="I43" i="1" s="1"/>
  <c r="K43" i="1" s="1"/>
  <c r="F43" i="1"/>
  <c r="H43" i="1" s="1"/>
  <c r="J43" i="1" s="1"/>
  <c r="I42" i="1"/>
  <c r="K42" i="1" s="1"/>
  <c r="H42" i="1"/>
  <c r="J42" i="1" s="1"/>
  <c r="G42" i="1"/>
  <c r="F42" i="1"/>
  <c r="G41" i="1"/>
  <c r="I41" i="1" s="1"/>
  <c r="K41" i="1" s="1"/>
  <c r="F41" i="1"/>
  <c r="H41" i="1" s="1"/>
  <c r="J41" i="1" s="1"/>
  <c r="J40" i="1"/>
  <c r="H40" i="1"/>
  <c r="G40" i="1"/>
  <c r="I40" i="1" s="1"/>
  <c r="K40" i="1" s="1"/>
  <c r="F40" i="1"/>
  <c r="G39" i="1"/>
  <c r="I39" i="1" s="1"/>
  <c r="K39" i="1" s="1"/>
  <c r="F39" i="1"/>
  <c r="H39" i="1" s="1"/>
  <c r="J39" i="1" s="1"/>
  <c r="I38" i="1"/>
  <c r="K38" i="1" s="1"/>
  <c r="G38" i="1"/>
  <c r="F38" i="1"/>
  <c r="H38" i="1" s="1"/>
  <c r="J38" i="1" s="1"/>
  <c r="I37" i="1"/>
  <c r="K37" i="1" s="1"/>
  <c r="H37" i="1"/>
  <c r="J37" i="1" s="1"/>
  <c r="G37" i="1"/>
  <c r="F37" i="1"/>
  <c r="G36" i="1"/>
  <c r="I36" i="1" s="1"/>
  <c r="K36" i="1" s="1"/>
  <c r="F36" i="1"/>
  <c r="H36" i="1" s="1"/>
  <c r="J36" i="1" s="1"/>
  <c r="J35" i="1"/>
  <c r="H35" i="1"/>
  <c r="G35" i="1"/>
  <c r="I35" i="1" s="1"/>
  <c r="K35" i="1" s="1"/>
  <c r="F35" i="1"/>
  <c r="G34" i="1"/>
  <c r="I34" i="1" s="1"/>
  <c r="K34" i="1" s="1"/>
  <c r="F34" i="1"/>
  <c r="H34" i="1" s="1"/>
  <c r="J34" i="1" s="1"/>
  <c r="G33" i="1"/>
  <c r="I33" i="1" s="1"/>
  <c r="K33" i="1" s="1"/>
  <c r="F33" i="1"/>
  <c r="H33" i="1" s="1"/>
  <c r="J33" i="1" s="1"/>
  <c r="I32" i="1"/>
  <c r="K32" i="1" s="1"/>
  <c r="H32" i="1"/>
  <c r="J32" i="1" s="1"/>
  <c r="G32" i="1"/>
  <c r="F32" i="1"/>
  <c r="G31" i="1"/>
  <c r="I31" i="1" s="1"/>
  <c r="K31" i="1" s="1"/>
  <c r="F31" i="1"/>
  <c r="H31" i="1" s="1"/>
  <c r="J31" i="1" s="1"/>
  <c r="J30" i="1"/>
  <c r="H30" i="1"/>
  <c r="G30" i="1"/>
  <c r="I30" i="1" s="1"/>
  <c r="K30" i="1" s="1"/>
  <c r="F30" i="1"/>
  <c r="G29" i="1"/>
  <c r="I29" i="1" s="1"/>
  <c r="K29" i="1" s="1"/>
  <c r="F29" i="1"/>
  <c r="H29" i="1" s="1"/>
  <c r="J29" i="1" s="1"/>
  <c r="G28" i="1"/>
  <c r="I28" i="1" s="1"/>
  <c r="K28" i="1" s="1"/>
  <c r="F28" i="1"/>
  <c r="H28" i="1" s="1"/>
  <c r="J28" i="1" s="1"/>
  <c r="I27" i="1"/>
  <c r="K27" i="1" s="1"/>
  <c r="H27" i="1"/>
  <c r="J27" i="1" s="1"/>
  <c r="G27" i="1"/>
  <c r="F27" i="1"/>
  <c r="G26" i="1"/>
  <c r="I26" i="1" s="1"/>
  <c r="K26" i="1" s="1"/>
  <c r="F26" i="1"/>
  <c r="H26" i="1" s="1"/>
  <c r="J26" i="1" s="1"/>
  <c r="J25" i="1"/>
  <c r="H25" i="1"/>
  <c r="G25" i="1"/>
  <c r="I25" i="1" s="1"/>
  <c r="K25" i="1" s="1"/>
  <c r="F25" i="1"/>
  <c r="G24" i="1"/>
  <c r="I24" i="1" s="1"/>
  <c r="K24" i="1" s="1"/>
  <c r="F24" i="1"/>
  <c r="H24" i="1" s="1"/>
  <c r="J24" i="1" s="1"/>
  <c r="G23" i="1"/>
  <c r="I23" i="1" s="1"/>
  <c r="K23" i="1" s="1"/>
  <c r="F23" i="1"/>
  <c r="H23" i="1" s="1"/>
  <c r="J23" i="1" s="1"/>
  <c r="I22" i="1"/>
  <c r="K22" i="1" s="1"/>
  <c r="H22" i="1"/>
  <c r="J22" i="1" s="1"/>
  <c r="G22" i="1"/>
  <c r="F22" i="1"/>
  <c r="G21" i="1"/>
  <c r="I21" i="1" s="1"/>
  <c r="K21" i="1" s="1"/>
  <c r="F21" i="1"/>
  <c r="H21" i="1" s="1"/>
  <c r="J21" i="1" s="1"/>
  <c r="J20" i="1"/>
  <c r="H20" i="1"/>
  <c r="G20" i="1"/>
  <c r="I20" i="1" s="1"/>
  <c r="K20" i="1" s="1"/>
  <c r="F20" i="1"/>
  <c r="G19" i="1"/>
  <c r="I19" i="1" s="1"/>
  <c r="K19" i="1" s="1"/>
  <c r="F19" i="1"/>
  <c r="H19" i="1" s="1"/>
  <c r="J19" i="1" s="1"/>
  <c r="G18" i="1"/>
  <c r="I18" i="1" s="1"/>
  <c r="K18" i="1" s="1"/>
  <c r="F18" i="1"/>
  <c r="H18" i="1" s="1"/>
  <c r="J18" i="1" s="1"/>
  <c r="I17" i="1"/>
  <c r="K17" i="1" s="1"/>
  <c r="H17" i="1"/>
  <c r="J17" i="1" s="1"/>
  <c r="G17" i="1"/>
  <c r="F17" i="1"/>
  <c r="G16" i="1"/>
  <c r="I16" i="1" s="1"/>
  <c r="K16" i="1" s="1"/>
  <c r="F16" i="1"/>
  <c r="H16" i="1" s="1"/>
  <c r="J16" i="1" s="1"/>
  <c r="J15" i="1"/>
  <c r="H15" i="1"/>
  <c r="G15" i="1"/>
  <c r="I15" i="1" s="1"/>
  <c r="K15" i="1" s="1"/>
  <c r="F15" i="1"/>
  <c r="G14" i="1"/>
  <c r="I14" i="1" s="1"/>
  <c r="K14" i="1" s="1"/>
  <c r="F14" i="1"/>
  <c r="H14" i="1" s="1"/>
  <c r="J14" i="1" s="1"/>
  <c r="G13" i="1"/>
  <c r="I13" i="1" s="1"/>
  <c r="K13" i="1" s="1"/>
  <c r="F13" i="1"/>
  <c r="H13" i="1" s="1"/>
  <c r="J13" i="1" s="1"/>
  <c r="I12" i="1"/>
  <c r="K12" i="1" s="1"/>
  <c r="H12" i="1"/>
  <c r="J12" i="1" s="1"/>
  <c r="G12" i="1"/>
  <c r="F12" i="1"/>
  <c r="G11" i="1"/>
  <c r="I11" i="1" s="1"/>
  <c r="K11" i="1" s="1"/>
  <c r="F11" i="1"/>
  <c r="H11" i="1" s="1"/>
  <c r="J11" i="1" s="1"/>
  <c r="J10" i="1"/>
  <c r="H10" i="1"/>
  <c r="G10" i="1"/>
  <c r="I10" i="1" s="1"/>
  <c r="K10" i="1" s="1"/>
  <c r="F10" i="1"/>
  <c r="G9" i="1"/>
  <c r="I9" i="1" s="1"/>
  <c r="K9" i="1" s="1"/>
  <c r="F9" i="1"/>
  <c r="H9" i="1" s="1"/>
  <c r="J9" i="1" s="1"/>
  <c r="G8" i="1"/>
  <c r="I8" i="1" s="1"/>
  <c r="K8" i="1" s="1"/>
  <c r="F8" i="1"/>
  <c r="H8" i="1" s="1"/>
  <c r="J8" i="1" s="1"/>
  <c r="I7" i="1"/>
  <c r="K7" i="1" s="1"/>
  <c r="H7" i="1"/>
  <c r="J7" i="1" s="1"/>
  <c r="G7" i="1"/>
  <c r="F7" i="1"/>
  <c r="G6" i="1"/>
  <c r="I6" i="1" s="1"/>
  <c r="K6" i="1" s="1"/>
  <c r="F6" i="1"/>
  <c r="H6" i="1" s="1"/>
  <c r="J6" i="1" s="1"/>
  <c r="M5" i="1"/>
  <c r="K5" i="1"/>
  <c r="I5" i="1"/>
  <c r="G5" i="1"/>
  <c r="F5" i="1"/>
  <c r="H5" i="1" s="1"/>
  <c r="J5" i="1" s="1"/>
  <c r="H4" i="1"/>
  <c r="J4" i="1" s="1"/>
  <c r="G4" i="1"/>
  <c r="I4" i="1" s="1"/>
  <c r="K4" i="1" s="1"/>
  <c r="F4" i="1"/>
  <c r="G3" i="1"/>
  <c r="I3" i="1" s="1"/>
  <c r="K3" i="1" s="1"/>
  <c r="F3" i="1"/>
  <c r="H3" i="1" s="1"/>
  <c r="J3" i="1" s="1"/>
</calcChain>
</file>

<file path=xl/sharedStrings.xml><?xml version="1.0" encoding="utf-8"?>
<sst xmlns="http://schemas.openxmlformats.org/spreadsheetml/2006/main" count="216" uniqueCount="127">
  <si>
    <t>Essai 1</t>
  </si>
  <si>
    <t>Essai 2</t>
  </si>
  <si>
    <t>Ct</t>
  </si>
  <si>
    <t>copies</t>
  </si>
  <si>
    <t>Echantillon</t>
  </si>
  <si>
    <t>Date</t>
  </si>
  <si>
    <t>HPV 66 (réplicat 1)</t>
  </si>
  <si>
    <t>HPV 66 (réplicat 2)</t>
  </si>
  <si>
    <r>
      <rPr>
        <b/>
        <sz val="9"/>
        <color theme="1"/>
        <rFont val="Symbol"/>
        <family val="1"/>
        <charset val="2"/>
      </rPr>
      <t>D</t>
    </r>
    <r>
      <rPr>
        <b/>
        <sz val="9"/>
        <color theme="1"/>
        <rFont val="Times New Roman"/>
        <family val="1"/>
      </rPr>
      <t>Ct</t>
    </r>
  </si>
  <si>
    <t>copies essai 1</t>
  </si>
  <si>
    <t>copies/µL</t>
  </si>
  <si>
    <t>copies/L</t>
  </si>
  <si>
    <t>LOQ</t>
  </si>
  <si>
    <t>Fr-Paris SC-24_01_2024</t>
  </si>
  <si>
    <t>Fr-Paris SC-28_01_2024</t>
  </si>
  <si>
    <t xml:space="preserve">38 modélisables sur 79 </t>
  </si>
  <si>
    <t>Fr-Paris SC-31_01_2024</t>
  </si>
  <si>
    <t>Fr-Paris SC-04_02_2024</t>
  </si>
  <si>
    <t>Fr-Paris SC-18_02_2024</t>
  </si>
  <si>
    <t>Fr-Paris SC-25_02_2024</t>
  </si>
  <si>
    <t>Fr-Paris SC-28_02_2024</t>
  </si>
  <si>
    <t>Fr-Paris SC-06_03_2024</t>
  </si>
  <si>
    <t>Fr-Paris SC-10_03_2024</t>
  </si>
  <si>
    <t>Fr-Paris SC-17_03_2024</t>
  </si>
  <si>
    <t>Fr-Paris SC-20_03_2024</t>
  </si>
  <si>
    <t>Fr-Paris SC-24_03_2024</t>
  </si>
  <si>
    <t>Fr-Paris SC-27_03_2024</t>
  </si>
  <si>
    <t>Fr-Paris SC-03_04_2024</t>
  </si>
  <si>
    <t>Fr-Paris SC-07_04_2024</t>
  </si>
  <si>
    <t>Fr-Paris SC-14_04_2024</t>
  </si>
  <si>
    <t>Fr-Paris SC-17_04_2024</t>
  </si>
  <si>
    <t>Fr-Paris SC-21_04_2024</t>
  </si>
  <si>
    <t>Fr-Paris SC-24_04_2024</t>
  </si>
  <si>
    <t>Fr-Paris SC-28_04_2024</t>
  </si>
  <si>
    <t>Fr-Paris SC-01_05_2024</t>
  </si>
  <si>
    <t>Fr-Paris SC-05_05_2024</t>
  </si>
  <si>
    <t>Fr-Paris SC-29_05_2024</t>
  </si>
  <si>
    <t>Fr-Paris SC-19_06_2024</t>
  </si>
  <si>
    <t>Fr-Paris SC-23_06_2024</t>
  </si>
  <si>
    <t>Fr-Paris SC-26_06_2024</t>
  </si>
  <si>
    <t>Fr-Paris SC-30_06_2024</t>
  </si>
  <si>
    <t>Fr-Paris SC-03_07_2024</t>
  </si>
  <si>
    <t>03/07/2024</t>
  </si>
  <si>
    <t>Fr-Paris SC-07_07_2024</t>
  </si>
  <si>
    <t>Fr-Paris SC-10_07_2024</t>
  </si>
  <si>
    <t>Fr-Paris SC-17_07_2024</t>
  </si>
  <si>
    <t>Fr-Paris SC-21_07_2024</t>
  </si>
  <si>
    <t>Fr-Paris SC-28_07_2024</t>
  </si>
  <si>
    <t>Fr-Paris SC-04_08_2024</t>
  </si>
  <si>
    <t>Fr-Paris SC-07_08_2024</t>
  </si>
  <si>
    <t>Fr-Paris SC-10_08_2024</t>
  </si>
  <si>
    <t>10/08/2024</t>
  </si>
  <si>
    <t>Fr-Paris SC-11_08_2024</t>
  </si>
  <si>
    <t>Fr-Paris SC-21_08_2024</t>
  </si>
  <si>
    <t>Fr-Paris SC-25_08_2024</t>
  </si>
  <si>
    <t>25/08/2024</t>
  </si>
  <si>
    <t>Fr-Paris SC-01_09_2024</t>
  </si>
  <si>
    <t>01/09/2024</t>
  </si>
  <si>
    <t>Fr-Paris SC-04_09_2024</t>
  </si>
  <si>
    <t>04/09/2024</t>
  </si>
  <si>
    <t>Fr-Paris SC-08_09_2024</t>
  </si>
  <si>
    <t>Fr-Paris SC-11_09_2024</t>
  </si>
  <si>
    <t>Fr-Paris SC-15_09_2024</t>
  </si>
  <si>
    <t>Fr-Paris SC-18_09_2024</t>
  </si>
  <si>
    <t>18/09/2024</t>
  </si>
  <si>
    <t>Fr-Paris SC-25_09_2024</t>
  </si>
  <si>
    <t>Fr-Paris SC-29_09_2024</t>
  </si>
  <si>
    <t>Fr-Paris SC-02_10_2024</t>
  </si>
  <si>
    <t>Fr-Paris SC-06_10_2024</t>
  </si>
  <si>
    <t>Fr-Paris SC-13_10_2024</t>
  </si>
  <si>
    <t>Fr-Paris SC-16_10_2024</t>
  </si>
  <si>
    <t>16/10/2024</t>
  </si>
  <si>
    <t>Fr-Paris SC-20_10_2024</t>
  </si>
  <si>
    <t>Fr-Paris SC-23_10_2024</t>
  </si>
  <si>
    <t>Fr-Paris SC-27_10_2024</t>
  </si>
  <si>
    <t>Fr-Paris SC-30_10_2024</t>
  </si>
  <si>
    <t>Fr-Paris SC-03_11_2024</t>
  </si>
  <si>
    <t>03/11/2024</t>
  </si>
  <si>
    <t>Fr-Paris SC-06_11_2024</t>
  </si>
  <si>
    <t>06/11/2024</t>
  </si>
  <si>
    <t>Fr-Paris SC-10_11_2024</t>
  </si>
  <si>
    <t>10/11/2024</t>
  </si>
  <si>
    <t>Fr-Paris SC-13_11_2024</t>
  </si>
  <si>
    <t>Fr-Paris SC-17_11_2024</t>
  </si>
  <si>
    <t>Fr-Paris SC-20_11_2024</t>
  </si>
  <si>
    <t>20/11/2024</t>
  </si>
  <si>
    <t>Fr-Paris SC-24_11_2024</t>
  </si>
  <si>
    <t>24/11/2024</t>
  </si>
  <si>
    <t>Fr-Paris SC-27_11_2024</t>
  </si>
  <si>
    <t>Fr-Paris SC-01_12_2024</t>
  </si>
  <si>
    <t>01/12/2024</t>
  </si>
  <si>
    <t>Fr-Paris SC-04_12_2024</t>
  </si>
  <si>
    <t>04/12/2024</t>
  </si>
  <si>
    <t>Fr-Paris SC-08_12_2024</t>
  </si>
  <si>
    <t>08/12/2024</t>
  </si>
  <si>
    <t>Fr-Paris SC-11_12_2024</t>
  </si>
  <si>
    <t>Fr-Paris SC-15_12_2024</t>
  </si>
  <si>
    <t>15/12/2024</t>
  </si>
  <si>
    <t>Fr-Paris SC-18_12_2024</t>
  </si>
  <si>
    <t>18/12/2024</t>
  </si>
  <si>
    <t>Fr-Paris SC-22_12_2024</t>
  </si>
  <si>
    <t>22/12/2024</t>
  </si>
  <si>
    <t>Fr-Paris SC-25_12_2024</t>
  </si>
  <si>
    <t>Fr-Paris SC-29_12_2024</t>
  </si>
  <si>
    <t>29/12/2024</t>
  </si>
  <si>
    <t>Fr-Paris SC-08_01_2025</t>
  </si>
  <si>
    <t>Fr-Paris SC-12_01_2025</t>
  </si>
  <si>
    <t>Fr-Paris SC-15_01_2025</t>
  </si>
  <si>
    <t>15/01/2025</t>
  </si>
  <si>
    <t>Fr-Paris SC-19_01_2025</t>
  </si>
  <si>
    <t>Fr-Paris SC-22_01_2025</t>
  </si>
  <si>
    <t>Fr-Paris SC-26_01_2025</t>
  </si>
  <si>
    <t>26/01/2025</t>
  </si>
  <si>
    <t>Fr-Paris SC-29_01_2025</t>
  </si>
  <si>
    <t>6 (réplicat 1)</t>
  </si>
  <si>
    <t>6 (réplicat 2)</t>
  </si>
  <si>
    <t>copies essai 2</t>
  </si>
  <si>
    <t>26 modélisables sur 61</t>
  </si>
  <si>
    <t>Fr-Paris SC-21_02_2024</t>
  </si>
  <si>
    <t>Fr-Paris SC-15_05_2024</t>
  </si>
  <si>
    <t>Fr-Paris SC-19_05_2024</t>
  </si>
  <si>
    <t>Fr-Paris SC-22_05_2024</t>
  </si>
  <si>
    <t>Fr-Paris SC-05_06_2024</t>
  </si>
  <si>
    <t>Fr-Paris SC-22_09_2024</t>
  </si>
  <si>
    <t>Fr-Paris SC-09_10_2024</t>
  </si>
  <si>
    <t>Fr-Paris SC-05_01_2025</t>
  </si>
  <si>
    <t>05/01/2025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</si>
</sst>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"/>
  </numFmts>
  <fonts count="14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color theme="1"/>
      <name val="Symbol"/>
      <family val="1"/>
      <charset val="2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Aptos Narrow"/>
      <family val="2"/>
      <scheme val="minor"/>
    </font>
    <font>
      <sz val="9"/>
      <color rgb="FF595959"/>
      <name val="Aptos Narrow"/>
    </font>
    <font>
      <sz val="1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5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164" fontId="6" fillId="0" borderId="3" xfId="0" applyNumberFormat="1" applyFont="1" applyBorder="1" applyAlignment="1">
      <alignment horizontal="left"/>
    </xf>
    <xf numFmtId="14" fontId="6" fillId="0" borderId="3" xfId="0" applyNumberFormat="1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2" fontId="7" fillId="0" borderId="5" xfId="0" applyNumberFormat="1" applyFont="1" applyBorder="1"/>
    <xf numFmtId="2" fontId="7" fillId="0" borderId="6" xfId="0" applyNumberFormat="1" applyFont="1" applyBorder="1"/>
    <xf numFmtId="2" fontId="7" fillId="4" borderId="5" xfId="0" applyNumberFormat="1" applyFont="1" applyFill="1" applyBorder="1" applyAlignment="1">
      <alignment horizontal="center"/>
    </xf>
    <xf numFmtId="2" fontId="7" fillId="4" borderId="5" xfId="0" applyNumberFormat="1" applyFont="1" applyFill="1" applyBorder="1"/>
    <xf numFmtId="0" fontId="8" fillId="5" borderId="0" xfId="0" applyFont="1" applyFill="1" applyAlignment="1">
      <alignment horizontal="center"/>
    </xf>
    <xf numFmtId="0" fontId="6" fillId="0" borderId="3" xfId="0" applyFont="1" applyBorder="1"/>
    <xf numFmtId="10" fontId="9" fillId="5" borderId="0" xfId="0" applyNumberFormat="1" applyFont="1" applyFill="1"/>
    <xf numFmtId="2" fontId="0" fillId="0" borderId="0" xfId="0" applyNumberFormat="1"/>
    <xf numFmtId="2" fontId="10" fillId="0" borderId="0" xfId="0" applyNumberFormat="1" applyFont="1" applyAlignment="1">
      <alignment horizontal="center" vertical="center" readingOrder="1"/>
    </xf>
    <xf numFmtId="49" fontId="11" fillId="0" borderId="3" xfId="0" applyNumberFormat="1" applyFont="1" applyBorder="1" applyAlignment="1">
      <alignment horizontal="right" vertical="center"/>
    </xf>
    <xf numFmtId="14" fontId="6" fillId="0" borderId="3" xfId="0" applyNumberFormat="1" applyFont="1" applyBorder="1" applyAlignment="1">
      <alignment horizontal="right"/>
    </xf>
    <xf numFmtId="49" fontId="11" fillId="0" borderId="3" xfId="0" applyNumberFormat="1" applyFont="1" applyBorder="1" applyAlignment="1">
      <alignment vertical="center"/>
    </xf>
    <xf numFmtId="2" fontId="7" fillId="4" borderId="9" xfId="0" applyNumberFormat="1" applyFont="1" applyFill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2" fontId="7" fillId="4" borderId="9" xfId="0" applyNumberFormat="1" applyFont="1" applyFill="1" applyBorder="1"/>
    <xf numFmtId="2" fontId="7" fillId="0" borderId="10" xfId="0" applyNumberFormat="1" applyFont="1" applyBorder="1"/>
    <xf numFmtId="0" fontId="7" fillId="0" borderId="0" xfId="0" applyFont="1"/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164" fontId="7" fillId="0" borderId="3" xfId="0" applyNumberFormat="1" applyFont="1" applyBorder="1" applyAlignment="1">
      <alignment horizontal="left"/>
    </xf>
    <xf numFmtId="14" fontId="7" fillId="0" borderId="3" xfId="0" applyNumberFormat="1" applyFont="1" applyBorder="1"/>
    <xf numFmtId="0" fontId="12" fillId="0" borderId="3" xfId="0" applyFont="1" applyBorder="1"/>
    <xf numFmtId="0" fontId="7" fillId="0" borderId="3" xfId="0" applyFont="1" applyBorder="1"/>
    <xf numFmtId="0" fontId="7" fillId="0" borderId="4" xfId="0" applyFont="1" applyBorder="1"/>
    <xf numFmtId="165" fontId="7" fillId="0" borderId="5" xfId="0" applyNumberFormat="1" applyFont="1" applyBorder="1" applyAlignment="1">
      <alignment horizontal="center" vertical="center" readingOrder="1"/>
    </xf>
    <xf numFmtId="165" fontId="7" fillId="0" borderId="6" xfId="0" applyNumberFormat="1" applyFont="1" applyBorder="1" applyAlignment="1">
      <alignment horizontal="center" vertical="center" readingOrder="1"/>
    </xf>
    <xf numFmtId="165" fontId="7" fillId="0" borderId="5" xfId="0" applyNumberFormat="1" applyFont="1" applyBorder="1"/>
    <xf numFmtId="165" fontId="7" fillId="0" borderId="6" xfId="0" applyNumberFormat="1" applyFont="1" applyBorder="1"/>
    <xf numFmtId="165" fontId="7" fillId="4" borderId="5" xfId="0" applyNumberFormat="1" applyFont="1" applyFill="1" applyBorder="1"/>
    <xf numFmtId="10" fontId="9" fillId="5" borderId="0" xfId="0" applyNumberFormat="1" applyFont="1" applyFill="1" applyAlignment="1">
      <alignment horizontal="center"/>
    </xf>
    <xf numFmtId="0" fontId="12" fillId="5" borderId="4" xfId="0" applyFont="1" applyFill="1" applyBorder="1"/>
    <xf numFmtId="14" fontId="7" fillId="0" borderId="3" xfId="0" applyNumberFormat="1" applyFont="1" applyBorder="1" applyAlignment="1">
      <alignment horizontal="right"/>
    </xf>
    <xf numFmtId="49" fontId="13" fillId="0" borderId="3" xfId="0" applyNumberFormat="1" applyFont="1" applyBorder="1" applyAlignment="1">
      <alignment horizontal="right" vertical="center"/>
    </xf>
    <xf numFmtId="2" fontId="7" fillId="0" borderId="0" xfId="0" applyNumberFormat="1" applyFont="1"/>
    <xf numFmtId="2" fontId="7" fillId="0" borderId="9" xfId="0" applyNumberFormat="1" applyFont="1" applyBorder="1" applyAlignment="1">
      <alignment horizontal="center"/>
    </xf>
    <xf numFmtId="165" fontId="7" fillId="0" borderId="9" xfId="0" applyNumberFormat="1" applyFont="1" applyBorder="1" applyAlignment="1">
      <alignment horizontal="center" vertical="center" readingOrder="1"/>
    </xf>
    <xf numFmtId="165" fontId="7" fillId="0" borderId="10" xfId="0" applyNumberFormat="1" applyFont="1" applyBorder="1" applyAlignment="1">
      <alignment horizontal="center" vertical="center" readingOrder="1"/>
    </xf>
    <xf numFmtId="165" fontId="7" fillId="0" borderId="9" xfId="0" applyNumberFormat="1" applyFont="1" applyBorder="1"/>
    <xf numFmtId="165" fontId="7" fillId="0" borderId="10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5352-0D29-5E4C-A024-9E1A5237228B}">
  <dimension ref="A1:O81"/>
  <sheetViews>
    <sheetView workbookViewId="0">
      <selection activeCell="J14" sqref="J14"/>
    </sheetView>
  </sheetViews>
  <sheetFormatPr baseColWidth="10" defaultRowHeight="16" x14ac:dyDescent="0.2"/>
  <sheetData>
    <row r="1" spans="1:15" x14ac:dyDescent="0.2">
      <c r="B1" s="1"/>
      <c r="F1" s="2" t="s">
        <v>0</v>
      </c>
      <c r="G1" s="3" t="s">
        <v>1</v>
      </c>
      <c r="H1" s="2" t="s">
        <v>0</v>
      </c>
      <c r="I1" s="3" t="s">
        <v>1</v>
      </c>
      <c r="J1" s="2" t="s">
        <v>0</v>
      </c>
      <c r="K1" s="3" t="s">
        <v>1</v>
      </c>
      <c r="M1" s="4"/>
      <c r="N1" s="5" t="s">
        <v>2</v>
      </c>
      <c r="O1" s="5" t="s">
        <v>3</v>
      </c>
    </row>
    <row r="2" spans="1:15" x14ac:dyDescent="0.2">
      <c r="A2" s="6" t="s">
        <v>4</v>
      </c>
      <c r="B2" s="7" t="s">
        <v>5</v>
      </c>
      <c r="C2" s="6" t="s">
        <v>6</v>
      </c>
      <c r="D2" s="6" t="s">
        <v>7</v>
      </c>
      <c r="E2" s="8" t="s">
        <v>8</v>
      </c>
      <c r="F2" s="9" t="s">
        <v>9</v>
      </c>
      <c r="G2" s="10"/>
      <c r="H2" s="11" t="s">
        <v>10</v>
      </c>
      <c r="I2" s="12"/>
      <c r="J2" s="11" t="s">
        <v>11</v>
      </c>
      <c r="K2" s="12"/>
      <c r="M2" s="13" t="s">
        <v>12</v>
      </c>
      <c r="N2" s="14">
        <v>38.58</v>
      </c>
      <c r="O2" s="15">
        <v>40</v>
      </c>
    </row>
    <row r="3" spans="1:15" x14ac:dyDescent="0.2">
      <c r="A3" s="16" t="s">
        <v>13</v>
      </c>
      <c r="B3" s="17">
        <v>45315</v>
      </c>
      <c r="C3" s="18">
        <v>40.9</v>
      </c>
      <c r="D3" s="18">
        <v>40.4</v>
      </c>
      <c r="E3" s="19">
        <v>0.5</v>
      </c>
      <c r="F3" s="20">
        <f>10^((C3-43.848)/-3.2151)</f>
        <v>8.2589201708895228</v>
      </c>
      <c r="G3" s="21">
        <f>10^((D3-43.848)/-3.2151)</f>
        <v>11.815155083038816</v>
      </c>
      <c r="H3" s="22">
        <f>F3/5</f>
        <v>1.6517840341779046</v>
      </c>
      <c r="I3" s="23">
        <f>G3/5</f>
        <v>2.363031016607763</v>
      </c>
      <c r="J3" s="22">
        <f>H3*(50/5)*(1000/150)</f>
        <v>110.11893561186031</v>
      </c>
      <c r="K3" s="23">
        <f>I3*(50/5)*(1000/150)</f>
        <v>157.53540110718421</v>
      </c>
    </row>
    <row r="4" spans="1:15" x14ac:dyDescent="0.2">
      <c r="A4" s="16" t="s">
        <v>14</v>
      </c>
      <c r="B4" s="17">
        <v>45319</v>
      </c>
      <c r="C4" s="18">
        <v>37.4</v>
      </c>
      <c r="D4" s="18">
        <v>42</v>
      </c>
      <c r="E4" s="19">
        <v>4.6000000000000014</v>
      </c>
      <c r="F4" s="24">
        <f t="shared" ref="F4:G67" si="0">10^((C4-43.848)/-3.2151)</f>
        <v>101.28295768905998</v>
      </c>
      <c r="G4" s="21">
        <f t="shared" si="0"/>
        <v>3.7565374295905687</v>
      </c>
      <c r="H4" s="25">
        <f t="shared" ref="H4:I67" si="1">F4/5</f>
        <v>20.256591537811996</v>
      </c>
      <c r="I4" s="23">
        <f t="shared" si="1"/>
        <v>0.75130748591811369</v>
      </c>
      <c r="J4" s="25">
        <f t="shared" ref="J4:K67" si="2">H4*(50/5)*(1000/150)</f>
        <v>1350.4394358541331</v>
      </c>
      <c r="K4" s="23">
        <f t="shared" si="2"/>
        <v>50.087165727874243</v>
      </c>
      <c r="M4" s="26" t="s">
        <v>15</v>
      </c>
    </row>
    <row r="5" spans="1:15" x14ac:dyDescent="0.2">
      <c r="A5" s="27" t="s">
        <v>16</v>
      </c>
      <c r="B5" s="17">
        <v>45322</v>
      </c>
      <c r="C5" s="18">
        <v>37.799999999999997</v>
      </c>
      <c r="D5" s="18">
        <v>37.4</v>
      </c>
      <c r="E5" s="19">
        <v>0.39999999999999858</v>
      </c>
      <c r="F5" s="24">
        <f t="shared" si="0"/>
        <v>76.054243131411241</v>
      </c>
      <c r="G5" s="21">
        <f t="shared" si="0"/>
        <v>101.28295768905998</v>
      </c>
      <c r="H5" s="25">
        <f t="shared" si="1"/>
        <v>15.210848626282248</v>
      </c>
      <c r="I5" s="23">
        <f t="shared" si="1"/>
        <v>20.256591537811996</v>
      </c>
      <c r="J5" s="25">
        <f t="shared" si="2"/>
        <v>1014.0565750854832</v>
      </c>
      <c r="K5" s="23">
        <f t="shared" si="2"/>
        <v>1350.4394358541331</v>
      </c>
      <c r="M5" s="28">
        <f>38/79</f>
        <v>0.48101265822784811</v>
      </c>
    </row>
    <row r="6" spans="1:15" x14ac:dyDescent="0.2">
      <c r="A6" s="16" t="s">
        <v>17</v>
      </c>
      <c r="B6" s="17">
        <v>45326</v>
      </c>
      <c r="C6" s="18">
        <v>41.8</v>
      </c>
      <c r="D6" s="18">
        <v>40</v>
      </c>
      <c r="E6" s="19">
        <v>1.7999999999999972</v>
      </c>
      <c r="F6" s="20">
        <f t="shared" si="0"/>
        <v>4.3350507261653046</v>
      </c>
      <c r="G6" s="21">
        <f t="shared" si="0"/>
        <v>15.734478486590342</v>
      </c>
      <c r="H6" s="22">
        <f t="shared" si="1"/>
        <v>0.86701014523306097</v>
      </c>
      <c r="I6" s="23">
        <f t="shared" si="1"/>
        <v>3.1468956973180684</v>
      </c>
      <c r="J6" s="22">
        <f t="shared" si="2"/>
        <v>57.800676348870731</v>
      </c>
      <c r="K6" s="23">
        <f t="shared" si="2"/>
        <v>209.79304648787124</v>
      </c>
      <c r="M6" s="29"/>
    </row>
    <row r="7" spans="1:15" x14ac:dyDescent="0.2">
      <c r="A7" s="16" t="s">
        <v>18</v>
      </c>
      <c r="B7" s="17">
        <v>45340</v>
      </c>
      <c r="C7" s="18">
        <v>38.299999999999997</v>
      </c>
      <c r="D7" s="18">
        <v>37.299999999999997</v>
      </c>
      <c r="E7" s="19">
        <v>1</v>
      </c>
      <c r="F7" s="24">
        <f t="shared" si="0"/>
        <v>53.162731954441398</v>
      </c>
      <c r="G7" s="21">
        <f t="shared" si="0"/>
        <v>108.80268348979354</v>
      </c>
      <c r="H7" s="25">
        <f t="shared" si="1"/>
        <v>10.63254639088828</v>
      </c>
      <c r="I7" s="23">
        <f t="shared" si="1"/>
        <v>21.760536697958706</v>
      </c>
      <c r="J7" s="25">
        <f t="shared" si="2"/>
        <v>708.83642605921864</v>
      </c>
      <c r="K7" s="23">
        <f t="shared" si="2"/>
        <v>1450.7024465305806</v>
      </c>
      <c r="M7" s="30"/>
    </row>
    <row r="8" spans="1:15" x14ac:dyDescent="0.2">
      <c r="A8" s="16" t="s">
        <v>19</v>
      </c>
      <c r="B8" s="17">
        <v>45347</v>
      </c>
      <c r="C8" s="18">
        <v>39.5</v>
      </c>
      <c r="D8" s="18">
        <v>38.5</v>
      </c>
      <c r="E8" s="19">
        <v>1</v>
      </c>
      <c r="F8" s="20">
        <f t="shared" si="0"/>
        <v>22.509638018426308</v>
      </c>
      <c r="G8" s="21">
        <f t="shared" si="0"/>
        <v>46.068155844350883</v>
      </c>
      <c r="H8" s="22">
        <f t="shared" si="1"/>
        <v>4.501927603685262</v>
      </c>
      <c r="I8" s="23">
        <f t="shared" si="1"/>
        <v>9.213631168870176</v>
      </c>
      <c r="J8" s="22">
        <f t="shared" si="2"/>
        <v>300.12850691235082</v>
      </c>
      <c r="K8" s="23">
        <f t="shared" si="2"/>
        <v>614.24207792467848</v>
      </c>
      <c r="M8" s="30"/>
    </row>
    <row r="9" spans="1:15" x14ac:dyDescent="0.2">
      <c r="A9" s="27" t="s">
        <v>20</v>
      </c>
      <c r="B9" s="17">
        <v>45350</v>
      </c>
      <c r="C9" s="18">
        <v>38.299999999999997</v>
      </c>
      <c r="D9" s="18">
        <v>38.1</v>
      </c>
      <c r="E9" s="19">
        <v>0.19999999999999574</v>
      </c>
      <c r="F9" s="24">
        <f t="shared" si="0"/>
        <v>53.162731954441398</v>
      </c>
      <c r="G9" s="21">
        <f t="shared" si="0"/>
        <v>61.349885122574207</v>
      </c>
      <c r="H9" s="25">
        <f t="shared" si="1"/>
        <v>10.63254639088828</v>
      </c>
      <c r="I9" s="23">
        <f t="shared" si="1"/>
        <v>12.269977024514841</v>
      </c>
      <c r="J9" s="25">
        <f t="shared" si="2"/>
        <v>708.83642605921864</v>
      </c>
      <c r="K9" s="23">
        <f t="shared" si="2"/>
        <v>817.99846830098943</v>
      </c>
      <c r="M9" s="29"/>
    </row>
    <row r="10" spans="1:15" x14ac:dyDescent="0.2">
      <c r="A10" s="16" t="s">
        <v>21</v>
      </c>
      <c r="B10" s="17">
        <v>45357</v>
      </c>
      <c r="C10" s="18">
        <v>39.299999999999997</v>
      </c>
      <c r="D10" s="18">
        <v>39.200000000000003</v>
      </c>
      <c r="E10" s="19">
        <v>9.9999999999994316E-2</v>
      </c>
      <c r="F10" s="20">
        <f t="shared" si="0"/>
        <v>25.976161416321254</v>
      </c>
      <c r="G10" s="21">
        <f t="shared" si="0"/>
        <v>27.904754495188403</v>
      </c>
      <c r="H10" s="22">
        <f t="shared" si="1"/>
        <v>5.195232283264251</v>
      </c>
      <c r="I10" s="23">
        <f t="shared" si="1"/>
        <v>5.5809508990376804</v>
      </c>
      <c r="J10" s="22">
        <f t="shared" si="2"/>
        <v>346.34881888428339</v>
      </c>
      <c r="K10" s="23">
        <f t="shared" si="2"/>
        <v>372.06339326917873</v>
      </c>
      <c r="M10" s="29"/>
    </row>
    <row r="11" spans="1:15" x14ac:dyDescent="0.2">
      <c r="A11" s="16" t="s">
        <v>22</v>
      </c>
      <c r="B11" s="17">
        <v>45361</v>
      </c>
      <c r="C11" s="18">
        <v>39.799999999999997</v>
      </c>
      <c r="D11" s="18">
        <v>41.4</v>
      </c>
      <c r="E11" s="19">
        <v>1.6000000000000014</v>
      </c>
      <c r="F11" s="20">
        <f t="shared" si="0"/>
        <v>18.157615534942277</v>
      </c>
      <c r="G11" s="21">
        <f t="shared" si="0"/>
        <v>5.7730738115358307</v>
      </c>
      <c r="H11" s="22">
        <f t="shared" si="1"/>
        <v>3.6315231069884555</v>
      </c>
      <c r="I11" s="23">
        <f t="shared" si="1"/>
        <v>1.1546147623071661</v>
      </c>
      <c r="J11" s="22">
        <f t="shared" si="2"/>
        <v>242.10154046589705</v>
      </c>
      <c r="K11" s="23">
        <f t="shared" si="2"/>
        <v>76.974317487144418</v>
      </c>
      <c r="M11" s="29"/>
    </row>
    <row r="12" spans="1:15" x14ac:dyDescent="0.2">
      <c r="A12" s="16" t="s">
        <v>23</v>
      </c>
      <c r="B12" s="17">
        <v>45368</v>
      </c>
      <c r="C12" s="18">
        <v>39.1</v>
      </c>
      <c r="D12" s="18">
        <v>38.299999999999997</v>
      </c>
      <c r="E12" s="19">
        <v>0.80000000000000426</v>
      </c>
      <c r="F12" s="20">
        <f t="shared" si="0"/>
        <v>29.976535445590763</v>
      </c>
      <c r="G12" s="21">
        <f t="shared" si="0"/>
        <v>53.162731954441398</v>
      </c>
      <c r="H12" s="22">
        <f t="shared" si="1"/>
        <v>5.9953070891181524</v>
      </c>
      <c r="I12" s="23">
        <f t="shared" si="1"/>
        <v>10.63254639088828</v>
      </c>
      <c r="J12" s="22">
        <f t="shared" si="2"/>
        <v>399.68713927454354</v>
      </c>
      <c r="K12" s="23">
        <f t="shared" si="2"/>
        <v>708.83642605921864</v>
      </c>
      <c r="M12" s="29"/>
    </row>
    <row r="13" spans="1:15" x14ac:dyDescent="0.2">
      <c r="A13" s="27" t="s">
        <v>24</v>
      </c>
      <c r="B13" s="17">
        <v>45371</v>
      </c>
      <c r="C13" s="18">
        <v>37.9</v>
      </c>
      <c r="D13" s="18">
        <v>38.700000000000003</v>
      </c>
      <c r="E13" s="19">
        <v>0.80000000000000426</v>
      </c>
      <c r="F13" s="24">
        <f t="shared" si="0"/>
        <v>70.797874115621497</v>
      </c>
      <c r="G13" s="21">
        <f t="shared" si="0"/>
        <v>39.920352188034933</v>
      </c>
      <c r="H13" s="25">
        <f t="shared" si="1"/>
        <v>14.159574823124299</v>
      </c>
      <c r="I13" s="23">
        <f t="shared" si="1"/>
        <v>7.9840704376069862</v>
      </c>
      <c r="J13" s="25">
        <f t="shared" si="2"/>
        <v>943.97165487495329</v>
      </c>
      <c r="K13" s="23">
        <f t="shared" si="2"/>
        <v>532.27136250713249</v>
      </c>
      <c r="M13" s="29"/>
    </row>
    <row r="14" spans="1:15" x14ac:dyDescent="0.2">
      <c r="A14" s="16" t="s">
        <v>25</v>
      </c>
      <c r="B14" s="17">
        <v>45375</v>
      </c>
      <c r="C14" s="18">
        <v>39.6</v>
      </c>
      <c r="D14" s="18">
        <v>39.299999999999997</v>
      </c>
      <c r="E14" s="19">
        <v>0.30000000000000426</v>
      </c>
      <c r="F14" s="20">
        <f t="shared" si="0"/>
        <v>20.953919902446113</v>
      </c>
      <c r="G14" s="21">
        <f t="shared" si="0"/>
        <v>25.976161416321254</v>
      </c>
      <c r="H14" s="22">
        <f t="shared" si="1"/>
        <v>4.1907839804892228</v>
      </c>
      <c r="I14" s="23">
        <f t="shared" si="1"/>
        <v>5.195232283264251</v>
      </c>
      <c r="J14" s="22">
        <f t="shared" si="2"/>
        <v>279.3855986992815</v>
      </c>
      <c r="K14" s="23">
        <f t="shared" si="2"/>
        <v>346.34881888428339</v>
      </c>
      <c r="M14" s="29"/>
    </row>
    <row r="15" spans="1:15" x14ac:dyDescent="0.2">
      <c r="A15" s="16" t="s">
        <v>26</v>
      </c>
      <c r="B15" s="17">
        <v>45378</v>
      </c>
      <c r="C15" s="18">
        <v>43</v>
      </c>
      <c r="D15" s="18">
        <v>40.5</v>
      </c>
      <c r="E15" s="19">
        <v>2.5</v>
      </c>
      <c r="F15" s="20">
        <f t="shared" si="0"/>
        <v>1.8355042912602786</v>
      </c>
      <c r="G15" s="21">
        <f t="shared" si="0"/>
        <v>10.998569281403427</v>
      </c>
      <c r="H15" s="22">
        <f t="shared" si="1"/>
        <v>0.36710085825205574</v>
      </c>
      <c r="I15" s="23">
        <f t="shared" si="1"/>
        <v>2.1997138562806855</v>
      </c>
      <c r="J15" s="22">
        <f t="shared" si="2"/>
        <v>24.473390550137051</v>
      </c>
      <c r="K15" s="23">
        <f t="shared" si="2"/>
        <v>146.64759041871235</v>
      </c>
      <c r="M15" s="29"/>
    </row>
    <row r="16" spans="1:15" x14ac:dyDescent="0.2">
      <c r="A16" s="16" t="s">
        <v>27</v>
      </c>
      <c r="B16" s="17">
        <v>45385</v>
      </c>
      <c r="C16" s="18">
        <v>38.5</v>
      </c>
      <c r="D16" s="18">
        <v>38</v>
      </c>
      <c r="E16" s="19">
        <v>0.5</v>
      </c>
      <c r="F16" s="24">
        <f t="shared" si="0"/>
        <v>46.068155844350883</v>
      </c>
      <c r="G16" s="21">
        <f t="shared" si="0"/>
        <v>65.904790750869125</v>
      </c>
      <c r="H16" s="25">
        <f t="shared" si="1"/>
        <v>9.213631168870176</v>
      </c>
      <c r="I16" s="23">
        <f t="shared" si="1"/>
        <v>13.180958150173826</v>
      </c>
      <c r="J16" s="25">
        <f t="shared" si="2"/>
        <v>614.24207792467848</v>
      </c>
      <c r="K16" s="23">
        <f t="shared" si="2"/>
        <v>878.73054334492167</v>
      </c>
      <c r="M16" s="29"/>
    </row>
    <row r="17" spans="1:13" x14ac:dyDescent="0.2">
      <c r="A17" s="16" t="s">
        <v>28</v>
      </c>
      <c r="B17" s="17">
        <v>45389</v>
      </c>
      <c r="C17" s="18">
        <v>40.9</v>
      </c>
      <c r="D17" s="18">
        <v>37.9</v>
      </c>
      <c r="E17" s="19">
        <v>3</v>
      </c>
      <c r="F17" s="20">
        <f t="shared" si="0"/>
        <v>8.2589201708895228</v>
      </c>
      <c r="G17" s="21">
        <f t="shared" si="0"/>
        <v>70.797874115621497</v>
      </c>
      <c r="H17" s="22">
        <f t="shared" si="1"/>
        <v>1.6517840341779046</v>
      </c>
      <c r="I17" s="23">
        <f t="shared" si="1"/>
        <v>14.159574823124299</v>
      </c>
      <c r="J17" s="22">
        <f t="shared" si="2"/>
        <v>110.11893561186031</v>
      </c>
      <c r="K17" s="23">
        <f t="shared" si="2"/>
        <v>943.97165487495329</v>
      </c>
      <c r="M17" s="29"/>
    </row>
    <row r="18" spans="1:13" x14ac:dyDescent="0.2">
      <c r="A18" s="16" t="s">
        <v>29</v>
      </c>
      <c r="B18" s="17">
        <v>45396</v>
      </c>
      <c r="C18" s="18">
        <v>38.6</v>
      </c>
      <c r="D18" s="18">
        <v>37.1</v>
      </c>
      <c r="E18" s="19">
        <v>1.5</v>
      </c>
      <c r="F18" s="24">
        <f t="shared" si="0"/>
        <v>42.884227939415759</v>
      </c>
      <c r="G18" s="21">
        <f t="shared" si="0"/>
        <v>125.55848594927166</v>
      </c>
      <c r="H18" s="25">
        <f t="shared" si="1"/>
        <v>8.5768455878831524</v>
      </c>
      <c r="I18" s="23">
        <f t="shared" si="1"/>
        <v>25.111697189854333</v>
      </c>
      <c r="J18" s="25">
        <f t="shared" si="2"/>
        <v>571.78970585887691</v>
      </c>
      <c r="K18" s="23">
        <f t="shared" si="2"/>
        <v>1674.113145990289</v>
      </c>
      <c r="M18" s="29"/>
    </row>
    <row r="19" spans="1:13" x14ac:dyDescent="0.2">
      <c r="A19" s="16" t="s">
        <v>30</v>
      </c>
      <c r="B19" s="17">
        <v>45399</v>
      </c>
      <c r="C19" s="18">
        <v>39.1</v>
      </c>
      <c r="D19" s="18">
        <v>38.799999999999997</v>
      </c>
      <c r="E19" s="19">
        <v>0.30000000000000426</v>
      </c>
      <c r="F19" s="20">
        <f t="shared" si="0"/>
        <v>29.976535445590763</v>
      </c>
      <c r="G19" s="21">
        <f t="shared" si="0"/>
        <v>37.161320032813549</v>
      </c>
      <c r="H19" s="22">
        <f t="shared" si="1"/>
        <v>5.9953070891181524</v>
      </c>
      <c r="I19" s="23">
        <f t="shared" si="1"/>
        <v>7.4322640065627095</v>
      </c>
      <c r="J19" s="22">
        <f t="shared" si="2"/>
        <v>399.68713927454354</v>
      </c>
      <c r="K19" s="23">
        <f t="shared" si="2"/>
        <v>495.48426710418067</v>
      </c>
      <c r="M19" s="29"/>
    </row>
    <row r="20" spans="1:13" x14ac:dyDescent="0.2">
      <c r="A20" s="16" t="s">
        <v>31</v>
      </c>
      <c r="B20" s="17">
        <v>45403</v>
      </c>
      <c r="C20" s="18">
        <v>39.6</v>
      </c>
      <c r="D20" s="18">
        <v>39.5</v>
      </c>
      <c r="E20" s="19">
        <v>0.10000000000000142</v>
      </c>
      <c r="F20" s="20">
        <f t="shared" si="0"/>
        <v>20.953919902446113</v>
      </c>
      <c r="G20" s="21">
        <f t="shared" si="0"/>
        <v>22.509638018426308</v>
      </c>
      <c r="H20" s="22">
        <f t="shared" si="1"/>
        <v>4.1907839804892228</v>
      </c>
      <c r="I20" s="23">
        <f t="shared" si="1"/>
        <v>4.501927603685262</v>
      </c>
      <c r="J20" s="22">
        <f t="shared" si="2"/>
        <v>279.3855986992815</v>
      </c>
      <c r="K20" s="23">
        <f t="shared" si="2"/>
        <v>300.12850691235082</v>
      </c>
      <c r="M20" s="29"/>
    </row>
    <row r="21" spans="1:13" x14ac:dyDescent="0.2">
      <c r="A21" s="27" t="s">
        <v>32</v>
      </c>
      <c r="B21" s="17">
        <v>45406</v>
      </c>
      <c r="C21" s="18">
        <v>39.6</v>
      </c>
      <c r="D21" s="18">
        <v>40.299999999999997</v>
      </c>
      <c r="E21" s="19">
        <v>0.69999999999999574</v>
      </c>
      <c r="F21" s="20">
        <f t="shared" si="0"/>
        <v>20.953919902446113</v>
      </c>
      <c r="G21" s="21">
        <f t="shared" si="0"/>
        <v>12.692368076663614</v>
      </c>
      <c r="H21" s="22">
        <f t="shared" si="1"/>
        <v>4.1907839804892228</v>
      </c>
      <c r="I21" s="23">
        <f t="shared" si="1"/>
        <v>2.5384736153327228</v>
      </c>
      <c r="J21" s="22">
        <f t="shared" si="2"/>
        <v>279.3855986992815</v>
      </c>
      <c r="K21" s="23">
        <f t="shared" si="2"/>
        <v>169.23157435551485</v>
      </c>
      <c r="M21" s="29"/>
    </row>
    <row r="22" spans="1:13" x14ac:dyDescent="0.2">
      <c r="A22" s="16" t="s">
        <v>33</v>
      </c>
      <c r="B22" s="17">
        <v>45410</v>
      </c>
      <c r="C22" s="18">
        <v>37.4</v>
      </c>
      <c r="D22" s="18">
        <v>38.299999999999997</v>
      </c>
      <c r="E22" s="19">
        <v>0.89999999999999858</v>
      </c>
      <c r="F22" s="24">
        <f t="shared" si="0"/>
        <v>101.28295768905998</v>
      </c>
      <c r="G22" s="21">
        <f t="shared" si="0"/>
        <v>53.162731954441398</v>
      </c>
      <c r="H22" s="25">
        <f t="shared" si="1"/>
        <v>20.256591537811996</v>
      </c>
      <c r="I22" s="23">
        <f t="shared" si="1"/>
        <v>10.63254639088828</v>
      </c>
      <c r="J22" s="25">
        <f t="shared" si="2"/>
        <v>1350.4394358541331</v>
      </c>
      <c r="K22" s="23">
        <f t="shared" si="2"/>
        <v>708.83642605921864</v>
      </c>
      <c r="M22" s="29"/>
    </row>
    <row r="23" spans="1:13" x14ac:dyDescent="0.2">
      <c r="A23" s="16" t="s">
        <v>34</v>
      </c>
      <c r="B23" s="17">
        <v>45413</v>
      </c>
      <c r="C23" s="18">
        <v>41.4</v>
      </c>
      <c r="D23" s="18">
        <v>42.4</v>
      </c>
      <c r="E23" s="19">
        <v>1</v>
      </c>
      <c r="F23" s="20">
        <f t="shared" si="0"/>
        <v>5.7730738115358307</v>
      </c>
      <c r="G23" s="21">
        <f t="shared" si="0"/>
        <v>2.8208162312896961</v>
      </c>
      <c r="H23" s="22">
        <f t="shared" si="1"/>
        <v>1.1546147623071661</v>
      </c>
      <c r="I23" s="23">
        <f t="shared" si="1"/>
        <v>0.56416324625793923</v>
      </c>
      <c r="J23" s="22">
        <f t="shared" si="2"/>
        <v>76.974317487144418</v>
      </c>
      <c r="K23" s="23">
        <f t="shared" si="2"/>
        <v>37.610883083862618</v>
      </c>
      <c r="M23" s="29"/>
    </row>
    <row r="24" spans="1:13" x14ac:dyDescent="0.2">
      <c r="A24" s="16" t="s">
        <v>35</v>
      </c>
      <c r="B24" s="17">
        <v>45417</v>
      </c>
      <c r="C24" s="18">
        <v>39.6</v>
      </c>
      <c r="D24" s="18">
        <v>40.5</v>
      </c>
      <c r="E24" s="19">
        <v>0.89999999999999858</v>
      </c>
      <c r="F24" s="20">
        <f t="shared" si="0"/>
        <v>20.953919902446113</v>
      </c>
      <c r="G24" s="21">
        <f t="shared" si="0"/>
        <v>10.998569281403427</v>
      </c>
      <c r="H24" s="22">
        <f t="shared" si="1"/>
        <v>4.1907839804892228</v>
      </c>
      <c r="I24" s="23">
        <f t="shared" si="1"/>
        <v>2.1997138562806855</v>
      </c>
      <c r="J24" s="22">
        <f t="shared" si="2"/>
        <v>279.3855986992815</v>
      </c>
      <c r="K24" s="23">
        <f t="shared" si="2"/>
        <v>146.64759041871235</v>
      </c>
      <c r="M24" s="29"/>
    </row>
    <row r="25" spans="1:13" x14ac:dyDescent="0.2">
      <c r="A25" s="27" t="s">
        <v>36</v>
      </c>
      <c r="B25" s="17">
        <v>45441</v>
      </c>
      <c r="C25" s="18">
        <v>38.9</v>
      </c>
      <c r="D25" s="18">
        <v>38.6</v>
      </c>
      <c r="E25" s="19">
        <v>0.29999999999999716</v>
      </c>
      <c r="F25" s="20">
        <f t="shared" si="0"/>
        <v>34.59297403180453</v>
      </c>
      <c r="G25" s="21">
        <f t="shared" si="0"/>
        <v>42.884227939415759</v>
      </c>
      <c r="H25" s="22">
        <f t="shared" si="1"/>
        <v>6.9185948063609057</v>
      </c>
      <c r="I25" s="23">
        <f t="shared" si="1"/>
        <v>8.5768455878831524</v>
      </c>
      <c r="J25" s="22">
        <f t="shared" si="2"/>
        <v>461.23965375739374</v>
      </c>
      <c r="K25" s="23">
        <f t="shared" si="2"/>
        <v>571.78970585887691</v>
      </c>
      <c r="M25" s="29"/>
    </row>
    <row r="26" spans="1:13" x14ac:dyDescent="0.2">
      <c r="A26" s="16" t="s">
        <v>37</v>
      </c>
      <c r="B26" s="17">
        <v>45462</v>
      </c>
      <c r="C26" s="18">
        <v>37.9</v>
      </c>
      <c r="D26" s="18">
        <v>37.4</v>
      </c>
      <c r="E26" s="19">
        <v>0.5</v>
      </c>
      <c r="F26" s="24">
        <f t="shared" si="0"/>
        <v>70.797874115621497</v>
      </c>
      <c r="G26" s="21">
        <f t="shared" si="0"/>
        <v>101.28295768905998</v>
      </c>
      <c r="H26" s="25">
        <f t="shared" si="1"/>
        <v>14.159574823124299</v>
      </c>
      <c r="I26" s="23">
        <f t="shared" si="1"/>
        <v>20.256591537811996</v>
      </c>
      <c r="J26" s="25">
        <f t="shared" si="2"/>
        <v>943.97165487495329</v>
      </c>
      <c r="K26" s="23">
        <f t="shared" si="2"/>
        <v>1350.4394358541331</v>
      </c>
      <c r="M26" s="29"/>
    </row>
    <row r="27" spans="1:13" x14ac:dyDescent="0.2">
      <c r="A27" s="16" t="s">
        <v>38</v>
      </c>
      <c r="B27" s="17">
        <v>45466</v>
      </c>
      <c r="C27" s="18">
        <v>37.700000000000003</v>
      </c>
      <c r="D27" s="18">
        <v>38.6</v>
      </c>
      <c r="E27" s="19">
        <v>0.89999999999999858</v>
      </c>
      <c r="F27" s="24">
        <f t="shared" si="0"/>
        <v>81.700869843145455</v>
      </c>
      <c r="G27" s="21">
        <f t="shared" si="0"/>
        <v>42.884227939415759</v>
      </c>
      <c r="H27" s="25">
        <f t="shared" si="1"/>
        <v>16.340173968629092</v>
      </c>
      <c r="I27" s="23">
        <f t="shared" si="1"/>
        <v>8.5768455878831524</v>
      </c>
      <c r="J27" s="25">
        <f t="shared" si="2"/>
        <v>1089.3449312419395</v>
      </c>
      <c r="K27" s="23">
        <f t="shared" si="2"/>
        <v>571.78970585887691</v>
      </c>
      <c r="M27" s="29"/>
    </row>
    <row r="28" spans="1:13" x14ac:dyDescent="0.2">
      <c r="A28" s="27" t="s">
        <v>39</v>
      </c>
      <c r="B28" s="17">
        <v>45469</v>
      </c>
      <c r="C28" s="18">
        <v>36.299999999999997</v>
      </c>
      <c r="D28" s="18">
        <v>36.200000000000003</v>
      </c>
      <c r="E28" s="19">
        <v>9.9999999999994316E-2</v>
      </c>
      <c r="F28" s="24">
        <f t="shared" si="0"/>
        <v>222.67523694465041</v>
      </c>
      <c r="G28" s="21">
        <f t="shared" si="0"/>
        <v>239.20769968707566</v>
      </c>
      <c r="H28" s="25">
        <f t="shared" si="1"/>
        <v>44.535047388930082</v>
      </c>
      <c r="I28" s="23">
        <f t="shared" si="1"/>
        <v>47.841539937415135</v>
      </c>
      <c r="J28" s="25">
        <f t="shared" si="2"/>
        <v>2969.0031592620057</v>
      </c>
      <c r="K28" s="23">
        <f t="shared" si="2"/>
        <v>3189.4359958276755</v>
      </c>
      <c r="M28" s="29"/>
    </row>
    <row r="29" spans="1:13" x14ac:dyDescent="0.2">
      <c r="A29" s="16" t="s">
        <v>40</v>
      </c>
      <c r="B29" s="17">
        <v>45473</v>
      </c>
      <c r="C29" s="18">
        <v>42.3</v>
      </c>
      <c r="D29" s="18">
        <v>40.5</v>
      </c>
      <c r="E29" s="19">
        <v>1.7999999999999972</v>
      </c>
      <c r="F29" s="20">
        <f t="shared" si="0"/>
        <v>3.0302469694665706</v>
      </c>
      <c r="G29" s="21">
        <f t="shared" si="0"/>
        <v>10.998569281403427</v>
      </c>
      <c r="H29" s="22">
        <f t="shared" si="1"/>
        <v>0.60604939389331414</v>
      </c>
      <c r="I29" s="23">
        <f t="shared" si="1"/>
        <v>2.1997138562806855</v>
      </c>
      <c r="J29" s="22">
        <f t="shared" si="2"/>
        <v>40.403292926220942</v>
      </c>
      <c r="K29" s="23">
        <f t="shared" si="2"/>
        <v>146.64759041871235</v>
      </c>
      <c r="M29" s="29"/>
    </row>
    <row r="30" spans="1:13" x14ac:dyDescent="0.2">
      <c r="A30" s="16" t="s">
        <v>41</v>
      </c>
      <c r="B30" s="31" t="s">
        <v>42</v>
      </c>
      <c r="C30" s="18">
        <v>39.5</v>
      </c>
      <c r="D30" s="18">
        <v>37.9</v>
      </c>
      <c r="E30" s="19">
        <v>1.6000000000000014</v>
      </c>
      <c r="F30" s="20">
        <f t="shared" si="0"/>
        <v>22.509638018426308</v>
      </c>
      <c r="G30" s="21">
        <f t="shared" si="0"/>
        <v>70.797874115621497</v>
      </c>
      <c r="H30" s="22">
        <f t="shared" si="1"/>
        <v>4.501927603685262</v>
      </c>
      <c r="I30" s="23">
        <f t="shared" si="1"/>
        <v>14.159574823124299</v>
      </c>
      <c r="J30" s="22">
        <f t="shared" si="2"/>
        <v>300.12850691235082</v>
      </c>
      <c r="K30" s="23">
        <f t="shared" si="2"/>
        <v>943.97165487495329</v>
      </c>
      <c r="M30" s="29"/>
    </row>
    <row r="31" spans="1:13" x14ac:dyDescent="0.2">
      <c r="A31" s="16" t="s">
        <v>43</v>
      </c>
      <c r="B31" s="32">
        <v>45480</v>
      </c>
      <c r="C31" s="18">
        <v>40.799999999999997</v>
      </c>
      <c r="D31" s="18">
        <v>38.200000000000003</v>
      </c>
      <c r="E31" s="19">
        <v>2.5999999999999943</v>
      </c>
      <c r="F31" s="20">
        <f t="shared" si="0"/>
        <v>8.8721014652776553</v>
      </c>
      <c r="G31" s="21">
        <f t="shared" si="0"/>
        <v>57.109784610057602</v>
      </c>
      <c r="H31" s="22">
        <f t="shared" si="1"/>
        <v>1.7744202930555311</v>
      </c>
      <c r="I31" s="23">
        <f t="shared" si="1"/>
        <v>11.421956922011521</v>
      </c>
      <c r="J31" s="22">
        <f t="shared" si="2"/>
        <v>118.29468620370207</v>
      </c>
      <c r="K31" s="23">
        <f t="shared" si="2"/>
        <v>761.46379480076803</v>
      </c>
      <c r="M31" s="29"/>
    </row>
    <row r="32" spans="1:13" x14ac:dyDescent="0.2">
      <c r="A32" s="16" t="s">
        <v>44</v>
      </c>
      <c r="B32" s="32">
        <v>45483</v>
      </c>
      <c r="C32" s="18">
        <v>39.299999999999997</v>
      </c>
      <c r="D32" s="18">
        <v>39.700000000000003</v>
      </c>
      <c r="E32" s="19">
        <v>0.40000000000000568</v>
      </c>
      <c r="F32" s="20">
        <f t="shared" si="0"/>
        <v>25.976161416321254</v>
      </c>
      <c r="G32" s="21">
        <f t="shared" si="0"/>
        <v>19.505722789442842</v>
      </c>
      <c r="H32" s="22">
        <f t="shared" si="1"/>
        <v>5.195232283264251</v>
      </c>
      <c r="I32" s="23">
        <f t="shared" si="1"/>
        <v>3.9011445578885686</v>
      </c>
      <c r="J32" s="22">
        <f t="shared" si="2"/>
        <v>346.34881888428339</v>
      </c>
      <c r="K32" s="23">
        <f t="shared" si="2"/>
        <v>260.0763038592379</v>
      </c>
      <c r="M32" s="29"/>
    </row>
    <row r="33" spans="1:13" x14ac:dyDescent="0.2">
      <c r="A33" s="16" t="s">
        <v>45</v>
      </c>
      <c r="B33" s="32">
        <v>45490</v>
      </c>
      <c r="C33" s="18">
        <v>40.1</v>
      </c>
      <c r="D33" s="18">
        <v>39.799999999999997</v>
      </c>
      <c r="E33" s="19">
        <v>0.30000000000000426</v>
      </c>
      <c r="F33" s="20">
        <f t="shared" si="0"/>
        <v>14.64701483181938</v>
      </c>
      <c r="G33" s="21">
        <f t="shared" si="0"/>
        <v>18.157615534942277</v>
      </c>
      <c r="H33" s="22">
        <f t="shared" si="1"/>
        <v>2.9294029663638761</v>
      </c>
      <c r="I33" s="23">
        <f t="shared" si="1"/>
        <v>3.6315231069884555</v>
      </c>
      <c r="J33" s="22">
        <f t="shared" si="2"/>
        <v>195.29353109092509</v>
      </c>
      <c r="K33" s="23">
        <f t="shared" si="2"/>
        <v>242.10154046589705</v>
      </c>
      <c r="M33" s="29"/>
    </row>
    <row r="34" spans="1:13" x14ac:dyDescent="0.2">
      <c r="A34" s="16" t="s">
        <v>46</v>
      </c>
      <c r="B34" s="32">
        <v>45494</v>
      </c>
      <c r="C34" s="18">
        <v>41</v>
      </c>
      <c r="D34" s="18">
        <v>38.700000000000003</v>
      </c>
      <c r="E34" s="19">
        <v>2.2999999999999972</v>
      </c>
      <c r="F34" s="20">
        <f t="shared" si="0"/>
        <v>7.6881179341867636</v>
      </c>
      <c r="G34" s="21">
        <f t="shared" si="0"/>
        <v>39.920352188034933</v>
      </c>
      <c r="H34" s="22">
        <f t="shared" si="1"/>
        <v>1.5376235868373527</v>
      </c>
      <c r="I34" s="23">
        <f t="shared" si="1"/>
        <v>7.9840704376069862</v>
      </c>
      <c r="J34" s="22">
        <f t="shared" si="2"/>
        <v>102.50823912249018</v>
      </c>
      <c r="K34" s="23">
        <f t="shared" si="2"/>
        <v>532.27136250713249</v>
      </c>
      <c r="M34" s="29"/>
    </row>
    <row r="35" spans="1:13" x14ac:dyDescent="0.2">
      <c r="A35" s="16" t="s">
        <v>47</v>
      </c>
      <c r="B35" s="32">
        <v>45501</v>
      </c>
      <c r="C35" s="18">
        <v>30.6</v>
      </c>
      <c r="D35" s="18">
        <v>31.1</v>
      </c>
      <c r="E35" s="19">
        <v>0.5</v>
      </c>
      <c r="F35" s="24">
        <f t="shared" si="0"/>
        <v>13199.458830830856</v>
      </c>
      <c r="G35" s="21">
        <f t="shared" si="0"/>
        <v>9226.5633431480146</v>
      </c>
      <c r="H35" s="25">
        <f t="shared" si="1"/>
        <v>2639.8917661661712</v>
      </c>
      <c r="I35" s="23">
        <f t="shared" si="1"/>
        <v>1845.312668629603</v>
      </c>
      <c r="J35" s="25">
        <f t="shared" si="2"/>
        <v>175992.78441107809</v>
      </c>
      <c r="K35" s="23">
        <f t="shared" si="2"/>
        <v>123020.84457530687</v>
      </c>
      <c r="M35" s="29"/>
    </row>
    <row r="36" spans="1:13" x14ac:dyDescent="0.2">
      <c r="A36" s="16" t="s">
        <v>48</v>
      </c>
      <c r="B36" s="32">
        <v>45508</v>
      </c>
      <c r="C36" s="18">
        <v>40.9</v>
      </c>
      <c r="D36" s="18">
        <v>41.7</v>
      </c>
      <c r="E36" s="19">
        <v>0.80000000000000426</v>
      </c>
      <c r="F36" s="20">
        <f t="shared" si="0"/>
        <v>8.2589201708895228</v>
      </c>
      <c r="G36" s="21">
        <f t="shared" si="0"/>
        <v>4.6569053948757997</v>
      </c>
      <c r="H36" s="22">
        <f t="shared" si="1"/>
        <v>1.6517840341779046</v>
      </c>
      <c r="I36" s="23">
        <f t="shared" si="1"/>
        <v>0.93138107897515998</v>
      </c>
      <c r="J36" s="22">
        <f t="shared" si="2"/>
        <v>110.11893561186031</v>
      </c>
      <c r="K36" s="23">
        <f t="shared" si="2"/>
        <v>62.092071931677332</v>
      </c>
      <c r="M36" s="29"/>
    </row>
    <row r="37" spans="1:13" x14ac:dyDescent="0.2">
      <c r="A37" s="16" t="s">
        <v>49</v>
      </c>
      <c r="B37" s="32">
        <v>45511</v>
      </c>
      <c r="C37" s="18">
        <v>37.799999999999997</v>
      </c>
      <c r="D37" s="18">
        <v>37.5</v>
      </c>
      <c r="E37" s="19">
        <v>0.29999999999999716</v>
      </c>
      <c r="F37" s="24">
        <f t="shared" si="0"/>
        <v>76.054243131411241</v>
      </c>
      <c r="G37" s="21">
        <f t="shared" si="0"/>
        <v>94.282945872435306</v>
      </c>
      <c r="H37" s="25">
        <f t="shared" si="1"/>
        <v>15.210848626282248</v>
      </c>
      <c r="I37" s="23">
        <f t="shared" si="1"/>
        <v>18.856589174487063</v>
      </c>
      <c r="J37" s="25">
        <f t="shared" si="2"/>
        <v>1014.0565750854832</v>
      </c>
      <c r="K37" s="23">
        <f t="shared" si="2"/>
        <v>1257.1059449658042</v>
      </c>
      <c r="M37" s="29"/>
    </row>
    <row r="38" spans="1:13" x14ac:dyDescent="0.2">
      <c r="A38" s="16" t="s">
        <v>50</v>
      </c>
      <c r="B38" s="31" t="s">
        <v>51</v>
      </c>
      <c r="C38" s="18">
        <v>39.299999999999997</v>
      </c>
      <c r="D38" s="18">
        <v>42.6</v>
      </c>
      <c r="E38" s="19">
        <v>3.3000000000000043</v>
      </c>
      <c r="F38" s="20">
        <f t="shared" si="0"/>
        <v>25.976161416321254</v>
      </c>
      <c r="G38" s="21">
        <f t="shared" si="0"/>
        <v>2.4443777995211122</v>
      </c>
      <c r="H38" s="22">
        <f t="shared" si="1"/>
        <v>5.195232283264251</v>
      </c>
      <c r="I38" s="23">
        <f t="shared" si="1"/>
        <v>0.48887555990422243</v>
      </c>
      <c r="J38" s="22">
        <f t="shared" si="2"/>
        <v>346.34881888428339</v>
      </c>
      <c r="K38" s="23">
        <f t="shared" si="2"/>
        <v>32.591703993614829</v>
      </c>
      <c r="M38" s="29"/>
    </row>
    <row r="39" spans="1:13" x14ac:dyDescent="0.2">
      <c r="A39" s="16" t="s">
        <v>52</v>
      </c>
      <c r="B39" s="32">
        <v>45515</v>
      </c>
      <c r="C39" s="18">
        <v>39.6</v>
      </c>
      <c r="D39" s="18">
        <v>39.200000000000003</v>
      </c>
      <c r="E39" s="19">
        <v>0.39999999999999858</v>
      </c>
      <c r="F39" s="20">
        <f t="shared" si="0"/>
        <v>20.953919902446113</v>
      </c>
      <c r="G39" s="21">
        <f t="shared" si="0"/>
        <v>27.904754495188403</v>
      </c>
      <c r="H39" s="22">
        <f t="shared" si="1"/>
        <v>4.1907839804892228</v>
      </c>
      <c r="I39" s="23">
        <f t="shared" si="1"/>
        <v>5.5809508990376804</v>
      </c>
      <c r="J39" s="22">
        <f t="shared" si="2"/>
        <v>279.3855986992815</v>
      </c>
      <c r="K39" s="23">
        <f t="shared" si="2"/>
        <v>372.06339326917873</v>
      </c>
      <c r="M39" s="29"/>
    </row>
    <row r="40" spans="1:13" x14ac:dyDescent="0.2">
      <c r="A40" s="27" t="s">
        <v>53</v>
      </c>
      <c r="B40" s="17">
        <v>45525</v>
      </c>
      <c r="C40" s="18">
        <v>38.1</v>
      </c>
      <c r="D40" s="18">
        <v>39.299999999999997</v>
      </c>
      <c r="E40" s="19">
        <v>1.1999999999999957</v>
      </c>
      <c r="F40" s="24">
        <f t="shared" si="0"/>
        <v>61.349885122574207</v>
      </c>
      <c r="G40" s="21">
        <f t="shared" si="0"/>
        <v>25.976161416321254</v>
      </c>
      <c r="H40" s="25">
        <f t="shared" si="1"/>
        <v>12.269977024514841</v>
      </c>
      <c r="I40" s="23">
        <f t="shared" si="1"/>
        <v>5.195232283264251</v>
      </c>
      <c r="J40" s="25">
        <f t="shared" si="2"/>
        <v>817.99846830098943</v>
      </c>
      <c r="K40" s="23">
        <f t="shared" si="2"/>
        <v>346.34881888428339</v>
      </c>
      <c r="M40" s="29"/>
    </row>
    <row r="41" spans="1:13" x14ac:dyDescent="0.2">
      <c r="A41" s="16" t="s">
        <v>54</v>
      </c>
      <c r="B41" s="31" t="s">
        <v>55</v>
      </c>
      <c r="C41" s="18">
        <v>38</v>
      </c>
      <c r="D41" s="18">
        <v>40.200000000000003</v>
      </c>
      <c r="E41" s="19">
        <v>2.2000000000000028</v>
      </c>
      <c r="F41" s="24">
        <f t="shared" si="0"/>
        <v>65.904790750869125</v>
      </c>
      <c r="G41" s="21">
        <f t="shared" si="0"/>
        <v>13.634709511749849</v>
      </c>
      <c r="H41" s="25">
        <f t="shared" si="1"/>
        <v>13.180958150173826</v>
      </c>
      <c r="I41" s="23">
        <f t="shared" si="1"/>
        <v>2.7269419023499699</v>
      </c>
      <c r="J41" s="25">
        <f t="shared" si="2"/>
        <v>878.73054334492167</v>
      </c>
      <c r="K41" s="23">
        <f t="shared" si="2"/>
        <v>181.79612682333135</v>
      </c>
      <c r="M41" s="29"/>
    </row>
    <row r="42" spans="1:13" x14ac:dyDescent="0.2">
      <c r="A42" s="16" t="s">
        <v>56</v>
      </c>
      <c r="B42" s="31" t="s">
        <v>57</v>
      </c>
      <c r="C42" s="18">
        <v>38</v>
      </c>
      <c r="D42" s="18">
        <v>39.200000000000003</v>
      </c>
      <c r="E42" s="19">
        <v>1.2000000000000028</v>
      </c>
      <c r="F42" s="24">
        <f t="shared" si="0"/>
        <v>65.904790750869125</v>
      </c>
      <c r="G42" s="21">
        <f t="shared" si="0"/>
        <v>27.904754495188403</v>
      </c>
      <c r="H42" s="25">
        <f t="shared" si="1"/>
        <v>13.180958150173826</v>
      </c>
      <c r="I42" s="23">
        <f t="shared" si="1"/>
        <v>5.5809508990376804</v>
      </c>
      <c r="J42" s="25">
        <f t="shared" si="2"/>
        <v>878.73054334492167</v>
      </c>
      <c r="K42" s="23">
        <f t="shared" si="2"/>
        <v>372.06339326917873</v>
      </c>
      <c r="M42" s="29"/>
    </row>
    <row r="43" spans="1:13" x14ac:dyDescent="0.2">
      <c r="A43" s="16" t="s">
        <v>58</v>
      </c>
      <c r="B43" s="31" t="s">
        <v>59</v>
      </c>
      <c r="C43" s="18">
        <v>39.5</v>
      </c>
      <c r="D43" s="18">
        <v>38.299999999999997</v>
      </c>
      <c r="E43" s="19">
        <v>1.2000000000000028</v>
      </c>
      <c r="F43" s="20">
        <f t="shared" si="0"/>
        <v>22.509638018426308</v>
      </c>
      <c r="G43" s="21">
        <f t="shared" si="0"/>
        <v>53.162731954441398</v>
      </c>
      <c r="H43" s="22">
        <f t="shared" si="1"/>
        <v>4.501927603685262</v>
      </c>
      <c r="I43" s="23">
        <f t="shared" si="1"/>
        <v>10.63254639088828</v>
      </c>
      <c r="J43" s="22">
        <f t="shared" si="2"/>
        <v>300.12850691235082</v>
      </c>
      <c r="K43" s="23">
        <f t="shared" si="2"/>
        <v>708.83642605921864</v>
      </c>
      <c r="M43" s="29"/>
    </row>
    <row r="44" spans="1:13" x14ac:dyDescent="0.2">
      <c r="A44" s="16" t="s">
        <v>60</v>
      </c>
      <c r="B44" s="32">
        <v>45543</v>
      </c>
      <c r="C44" s="18">
        <v>38.799999999999997</v>
      </c>
      <c r="D44" s="18">
        <v>39.4</v>
      </c>
      <c r="E44" s="19">
        <v>0.60000000000000142</v>
      </c>
      <c r="F44" s="20">
        <f t="shared" si="0"/>
        <v>37.161320032813549</v>
      </c>
      <c r="G44" s="21">
        <f t="shared" si="0"/>
        <v>24.18086000516946</v>
      </c>
      <c r="H44" s="22">
        <f t="shared" si="1"/>
        <v>7.4322640065627095</v>
      </c>
      <c r="I44" s="23">
        <f t="shared" si="1"/>
        <v>4.8361720010338924</v>
      </c>
      <c r="J44" s="22">
        <f t="shared" si="2"/>
        <v>495.48426710418067</v>
      </c>
      <c r="K44" s="23">
        <f t="shared" si="2"/>
        <v>322.41146673559285</v>
      </c>
      <c r="M44" s="29"/>
    </row>
    <row r="45" spans="1:13" x14ac:dyDescent="0.2">
      <c r="A45" s="16" t="s">
        <v>61</v>
      </c>
      <c r="B45" s="32">
        <v>45546</v>
      </c>
      <c r="C45" s="18">
        <v>39.700000000000003</v>
      </c>
      <c r="D45" s="18">
        <v>39.200000000000003</v>
      </c>
      <c r="E45" s="19">
        <v>0.5</v>
      </c>
      <c r="F45" s="20">
        <f t="shared" si="0"/>
        <v>19.505722789442842</v>
      </c>
      <c r="G45" s="21">
        <f t="shared" si="0"/>
        <v>27.904754495188403</v>
      </c>
      <c r="H45" s="22">
        <f t="shared" si="1"/>
        <v>3.9011445578885686</v>
      </c>
      <c r="I45" s="23">
        <f t="shared" si="1"/>
        <v>5.5809508990376804</v>
      </c>
      <c r="J45" s="22">
        <f t="shared" si="2"/>
        <v>260.0763038592379</v>
      </c>
      <c r="K45" s="23">
        <f t="shared" si="2"/>
        <v>372.06339326917873</v>
      </c>
      <c r="M45" s="29"/>
    </row>
    <row r="46" spans="1:13" x14ac:dyDescent="0.2">
      <c r="A46" s="16" t="s">
        <v>62</v>
      </c>
      <c r="B46" s="32">
        <v>45550</v>
      </c>
      <c r="C46" s="18">
        <v>39.4</v>
      </c>
      <c r="D46" s="18">
        <v>39.9</v>
      </c>
      <c r="E46" s="19">
        <v>0.5</v>
      </c>
      <c r="F46" s="20">
        <f t="shared" si="0"/>
        <v>24.18086000516946</v>
      </c>
      <c r="G46" s="21">
        <f t="shared" si="0"/>
        <v>16.902680586295414</v>
      </c>
      <c r="H46" s="22">
        <f t="shared" si="1"/>
        <v>4.8361720010338924</v>
      </c>
      <c r="I46" s="23">
        <f t="shared" si="1"/>
        <v>3.3805361172590827</v>
      </c>
      <c r="J46" s="22">
        <f t="shared" si="2"/>
        <v>322.41146673559285</v>
      </c>
      <c r="K46" s="23">
        <f t="shared" si="2"/>
        <v>225.36907448393887</v>
      </c>
      <c r="M46" s="29"/>
    </row>
    <row r="47" spans="1:13" x14ac:dyDescent="0.2">
      <c r="A47" s="16" t="s">
        <v>63</v>
      </c>
      <c r="B47" s="31" t="s">
        <v>64</v>
      </c>
      <c r="C47" s="18">
        <v>37.799999999999997</v>
      </c>
      <c r="D47" s="18">
        <v>38.200000000000003</v>
      </c>
      <c r="E47" s="19">
        <v>0.40000000000000568</v>
      </c>
      <c r="F47" s="24">
        <f t="shared" si="0"/>
        <v>76.054243131411241</v>
      </c>
      <c r="G47" s="21">
        <f t="shared" si="0"/>
        <v>57.109784610057602</v>
      </c>
      <c r="H47" s="25">
        <f t="shared" si="1"/>
        <v>15.210848626282248</v>
      </c>
      <c r="I47" s="23">
        <f t="shared" si="1"/>
        <v>11.421956922011521</v>
      </c>
      <c r="J47" s="25">
        <f t="shared" si="2"/>
        <v>1014.0565750854832</v>
      </c>
      <c r="K47" s="23">
        <f t="shared" si="2"/>
        <v>761.46379480076803</v>
      </c>
      <c r="M47" s="29"/>
    </row>
    <row r="48" spans="1:13" x14ac:dyDescent="0.2">
      <c r="A48" s="27" t="s">
        <v>65</v>
      </c>
      <c r="B48" s="17">
        <v>45560</v>
      </c>
      <c r="C48" s="18">
        <v>39.799999999999997</v>
      </c>
      <c r="D48" s="18">
        <v>39.799999999999997</v>
      </c>
      <c r="E48" s="19">
        <v>0</v>
      </c>
      <c r="F48" s="20">
        <f t="shared" si="0"/>
        <v>18.157615534942277</v>
      </c>
      <c r="G48" s="21">
        <f t="shared" si="0"/>
        <v>18.157615534942277</v>
      </c>
      <c r="H48" s="22">
        <f t="shared" si="1"/>
        <v>3.6315231069884555</v>
      </c>
      <c r="I48" s="23">
        <f t="shared" si="1"/>
        <v>3.6315231069884555</v>
      </c>
      <c r="J48" s="22">
        <f t="shared" si="2"/>
        <v>242.10154046589705</v>
      </c>
      <c r="K48" s="23">
        <f t="shared" si="2"/>
        <v>242.10154046589705</v>
      </c>
      <c r="M48" s="29"/>
    </row>
    <row r="49" spans="1:13" x14ac:dyDescent="0.2">
      <c r="A49" s="16" t="s">
        <v>66</v>
      </c>
      <c r="B49" s="32">
        <v>45564</v>
      </c>
      <c r="C49" s="18">
        <v>37.6</v>
      </c>
      <c r="D49" s="18">
        <v>37.299999999999997</v>
      </c>
      <c r="E49" s="19">
        <v>0.30000000000000426</v>
      </c>
      <c r="F49" s="24">
        <f t="shared" si="0"/>
        <v>87.766728827911606</v>
      </c>
      <c r="G49" s="21">
        <f t="shared" si="0"/>
        <v>108.80268348979354</v>
      </c>
      <c r="H49" s="25">
        <f t="shared" si="1"/>
        <v>17.553345765582321</v>
      </c>
      <c r="I49" s="23">
        <f t="shared" si="1"/>
        <v>21.760536697958706</v>
      </c>
      <c r="J49" s="25">
        <f t="shared" si="2"/>
        <v>1170.2230510388215</v>
      </c>
      <c r="K49" s="23">
        <f t="shared" si="2"/>
        <v>1450.7024465305806</v>
      </c>
      <c r="M49" s="29"/>
    </row>
    <row r="50" spans="1:13" x14ac:dyDescent="0.2">
      <c r="A50" s="16" t="s">
        <v>67</v>
      </c>
      <c r="B50" s="32">
        <v>45567</v>
      </c>
      <c r="C50" s="18">
        <v>38.4</v>
      </c>
      <c r="D50" s="18">
        <v>37</v>
      </c>
      <c r="E50" s="19">
        <v>1.3999999999999986</v>
      </c>
      <c r="F50" s="24">
        <f t="shared" si="0"/>
        <v>49.488473615465857</v>
      </c>
      <c r="G50" s="21">
        <f t="shared" si="0"/>
        <v>134.88054178014877</v>
      </c>
      <c r="H50" s="25">
        <f t="shared" si="1"/>
        <v>9.8976947230931707</v>
      </c>
      <c r="I50" s="23">
        <f t="shared" si="1"/>
        <v>26.976108356029755</v>
      </c>
      <c r="J50" s="25">
        <f t="shared" si="2"/>
        <v>659.846314872878</v>
      </c>
      <c r="K50" s="23">
        <f t="shared" si="2"/>
        <v>1798.4072237353171</v>
      </c>
      <c r="M50" s="29"/>
    </row>
    <row r="51" spans="1:13" x14ac:dyDescent="0.2">
      <c r="A51" s="16" t="s">
        <v>68</v>
      </c>
      <c r="B51" s="32">
        <v>45571</v>
      </c>
      <c r="C51" s="18">
        <v>40.9</v>
      </c>
      <c r="D51" s="18">
        <v>43</v>
      </c>
      <c r="E51" s="19">
        <v>2.1000000000000014</v>
      </c>
      <c r="F51" s="20">
        <f t="shared" si="0"/>
        <v>8.2589201708895228</v>
      </c>
      <c r="G51" s="21">
        <f t="shared" si="0"/>
        <v>1.8355042912602786</v>
      </c>
      <c r="H51" s="22">
        <f t="shared" si="1"/>
        <v>1.6517840341779046</v>
      </c>
      <c r="I51" s="23">
        <f t="shared" si="1"/>
        <v>0.36710085825205574</v>
      </c>
      <c r="J51" s="22">
        <f t="shared" si="2"/>
        <v>110.11893561186031</v>
      </c>
      <c r="K51" s="23">
        <f t="shared" si="2"/>
        <v>24.473390550137051</v>
      </c>
      <c r="M51" s="29"/>
    </row>
    <row r="52" spans="1:13" x14ac:dyDescent="0.2">
      <c r="A52" s="16" t="s">
        <v>69</v>
      </c>
      <c r="B52" s="32">
        <v>45578</v>
      </c>
      <c r="C52" s="18">
        <v>38.700000000000003</v>
      </c>
      <c r="D52" s="18">
        <v>40.700000000000003</v>
      </c>
      <c r="E52" s="19">
        <v>2</v>
      </c>
      <c r="F52" s="24">
        <f t="shared" si="0"/>
        <v>39.920352188034933</v>
      </c>
      <c r="G52" s="21">
        <f t="shared" si="0"/>
        <v>9.53080823902717</v>
      </c>
      <c r="H52" s="25">
        <f t="shared" si="1"/>
        <v>7.9840704376069862</v>
      </c>
      <c r="I52" s="23">
        <f t="shared" si="1"/>
        <v>1.906161647805434</v>
      </c>
      <c r="J52" s="25">
        <f t="shared" si="2"/>
        <v>532.27136250713249</v>
      </c>
      <c r="K52" s="23">
        <f t="shared" si="2"/>
        <v>127.07744318702893</v>
      </c>
      <c r="M52" s="29"/>
    </row>
    <row r="53" spans="1:13" x14ac:dyDescent="0.2">
      <c r="A53" s="16" t="s">
        <v>70</v>
      </c>
      <c r="B53" s="31" t="s">
        <v>71</v>
      </c>
      <c r="C53" s="18">
        <v>37.700000000000003</v>
      </c>
      <c r="D53" s="18">
        <v>38.200000000000003</v>
      </c>
      <c r="E53" s="19">
        <v>0.5</v>
      </c>
      <c r="F53" s="24">
        <f t="shared" si="0"/>
        <v>81.700869843145455</v>
      </c>
      <c r="G53" s="21">
        <f t="shared" si="0"/>
        <v>57.109784610057602</v>
      </c>
      <c r="H53" s="25">
        <f t="shared" si="1"/>
        <v>16.340173968629092</v>
      </c>
      <c r="I53" s="23">
        <f t="shared" si="1"/>
        <v>11.421956922011521</v>
      </c>
      <c r="J53" s="25">
        <f t="shared" si="2"/>
        <v>1089.3449312419395</v>
      </c>
      <c r="K53" s="23">
        <f t="shared" si="2"/>
        <v>761.46379480076803</v>
      </c>
      <c r="M53" s="29"/>
    </row>
    <row r="54" spans="1:13" x14ac:dyDescent="0.2">
      <c r="A54" s="16" t="s">
        <v>72</v>
      </c>
      <c r="B54" s="32">
        <v>45585</v>
      </c>
      <c r="C54" s="18">
        <v>38.5</v>
      </c>
      <c r="D54" s="18">
        <v>39.299999999999997</v>
      </c>
      <c r="E54" s="19">
        <v>0.79999999999999716</v>
      </c>
      <c r="F54" s="24">
        <f t="shared" si="0"/>
        <v>46.068155844350883</v>
      </c>
      <c r="G54" s="21">
        <f t="shared" si="0"/>
        <v>25.976161416321254</v>
      </c>
      <c r="H54" s="25">
        <f t="shared" si="1"/>
        <v>9.213631168870176</v>
      </c>
      <c r="I54" s="23">
        <f t="shared" si="1"/>
        <v>5.195232283264251</v>
      </c>
      <c r="J54" s="25">
        <f t="shared" si="2"/>
        <v>614.24207792467848</v>
      </c>
      <c r="K54" s="23">
        <f t="shared" si="2"/>
        <v>346.34881888428339</v>
      </c>
      <c r="M54" s="29"/>
    </row>
    <row r="55" spans="1:13" x14ac:dyDescent="0.2">
      <c r="A55" s="16" t="s">
        <v>73</v>
      </c>
      <c r="B55" s="32">
        <v>45588</v>
      </c>
      <c r="C55" s="18">
        <v>42.3</v>
      </c>
      <c r="D55" s="18">
        <v>40.5</v>
      </c>
      <c r="E55" s="19">
        <v>1.7999999999999972</v>
      </c>
      <c r="F55" s="20">
        <f t="shared" si="0"/>
        <v>3.0302469694665706</v>
      </c>
      <c r="G55" s="21">
        <f t="shared" si="0"/>
        <v>10.998569281403427</v>
      </c>
      <c r="H55" s="22">
        <f t="shared" si="1"/>
        <v>0.60604939389331414</v>
      </c>
      <c r="I55" s="23">
        <f t="shared" si="1"/>
        <v>2.1997138562806855</v>
      </c>
      <c r="J55" s="22">
        <f t="shared" si="2"/>
        <v>40.403292926220942</v>
      </c>
      <c r="K55" s="23">
        <f t="shared" si="2"/>
        <v>146.64759041871235</v>
      </c>
      <c r="M55" s="29"/>
    </row>
    <row r="56" spans="1:13" x14ac:dyDescent="0.2">
      <c r="A56" s="16" t="s">
        <v>74</v>
      </c>
      <c r="B56" s="32">
        <v>45592</v>
      </c>
      <c r="C56" s="18">
        <v>37.6</v>
      </c>
      <c r="D56" s="18">
        <v>38.700000000000003</v>
      </c>
      <c r="E56" s="19">
        <v>1.1000000000000014</v>
      </c>
      <c r="F56" s="24">
        <f t="shared" si="0"/>
        <v>87.766728827911606</v>
      </c>
      <c r="G56" s="21">
        <f t="shared" si="0"/>
        <v>39.920352188034933</v>
      </c>
      <c r="H56" s="25">
        <f t="shared" si="1"/>
        <v>17.553345765582321</v>
      </c>
      <c r="I56" s="23">
        <f t="shared" si="1"/>
        <v>7.9840704376069862</v>
      </c>
      <c r="J56" s="25">
        <f t="shared" si="2"/>
        <v>1170.2230510388215</v>
      </c>
      <c r="K56" s="23">
        <f t="shared" si="2"/>
        <v>532.27136250713249</v>
      </c>
      <c r="M56" s="29"/>
    </row>
    <row r="57" spans="1:13" x14ac:dyDescent="0.2">
      <c r="A57" s="27" t="s">
        <v>75</v>
      </c>
      <c r="B57" s="17">
        <v>45595</v>
      </c>
      <c r="C57" s="18">
        <v>38.200000000000003</v>
      </c>
      <c r="D57" s="18">
        <v>38.200000000000003</v>
      </c>
      <c r="E57" s="19">
        <v>0</v>
      </c>
      <c r="F57" s="24">
        <f t="shared" si="0"/>
        <v>57.109784610057602</v>
      </c>
      <c r="G57" s="21">
        <f t="shared" si="0"/>
        <v>57.109784610057602</v>
      </c>
      <c r="H57" s="25">
        <f t="shared" si="1"/>
        <v>11.421956922011521</v>
      </c>
      <c r="I57" s="23">
        <f t="shared" si="1"/>
        <v>11.421956922011521</v>
      </c>
      <c r="J57" s="25">
        <f t="shared" si="2"/>
        <v>761.46379480076803</v>
      </c>
      <c r="K57" s="23">
        <f t="shared" si="2"/>
        <v>761.46379480076803</v>
      </c>
      <c r="M57" s="29"/>
    </row>
    <row r="58" spans="1:13" x14ac:dyDescent="0.2">
      <c r="A58" s="16" t="s">
        <v>76</v>
      </c>
      <c r="B58" s="31" t="s">
        <v>77</v>
      </c>
      <c r="C58" s="18">
        <v>37.799999999999997</v>
      </c>
      <c r="D58" s="18">
        <v>39.5</v>
      </c>
      <c r="E58" s="19">
        <v>1.7000000000000028</v>
      </c>
      <c r="F58" s="24">
        <f t="shared" si="0"/>
        <v>76.054243131411241</v>
      </c>
      <c r="G58" s="21">
        <f t="shared" si="0"/>
        <v>22.509638018426308</v>
      </c>
      <c r="H58" s="25">
        <f t="shared" si="1"/>
        <v>15.210848626282248</v>
      </c>
      <c r="I58" s="23">
        <f t="shared" si="1"/>
        <v>4.501927603685262</v>
      </c>
      <c r="J58" s="25">
        <f t="shared" si="2"/>
        <v>1014.0565750854832</v>
      </c>
      <c r="K58" s="23">
        <f t="shared" si="2"/>
        <v>300.12850691235082</v>
      </c>
      <c r="M58" s="29"/>
    </row>
    <row r="59" spans="1:13" x14ac:dyDescent="0.2">
      <c r="A59" s="16" t="s">
        <v>78</v>
      </c>
      <c r="B59" s="31" t="s">
        <v>79</v>
      </c>
      <c r="C59" s="18">
        <v>37</v>
      </c>
      <c r="D59" s="18">
        <v>38.4</v>
      </c>
      <c r="E59" s="19">
        <v>1.3999999999999986</v>
      </c>
      <c r="F59" s="24">
        <f t="shared" si="0"/>
        <v>134.88054178014877</v>
      </c>
      <c r="G59" s="21">
        <f t="shared" si="0"/>
        <v>49.488473615465857</v>
      </c>
      <c r="H59" s="25">
        <f t="shared" si="1"/>
        <v>26.976108356029755</v>
      </c>
      <c r="I59" s="23">
        <f t="shared" si="1"/>
        <v>9.8976947230931707</v>
      </c>
      <c r="J59" s="25">
        <f t="shared" si="2"/>
        <v>1798.4072237353171</v>
      </c>
      <c r="K59" s="23">
        <f t="shared" si="2"/>
        <v>659.846314872878</v>
      </c>
      <c r="M59" s="29"/>
    </row>
    <row r="60" spans="1:13" x14ac:dyDescent="0.2">
      <c r="A60" s="16" t="s">
        <v>80</v>
      </c>
      <c r="B60" s="31" t="s">
        <v>81</v>
      </c>
      <c r="C60" s="18">
        <v>36.5</v>
      </c>
      <c r="D60" s="18">
        <v>37.4</v>
      </c>
      <c r="E60" s="19">
        <v>0.89999999999999858</v>
      </c>
      <c r="F60" s="24">
        <f t="shared" si="0"/>
        <v>192.95918665419322</v>
      </c>
      <c r="G60" s="21">
        <f t="shared" si="0"/>
        <v>101.28295768905998</v>
      </c>
      <c r="H60" s="25">
        <f t="shared" si="1"/>
        <v>38.591837330838644</v>
      </c>
      <c r="I60" s="23">
        <f t="shared" si="1"/>
        <v>20.256591537811996</v>
      </c>
      <c r="J60" s="25">
        <f t="shared" si="2"/>
        <v>2572.7891553892432</v>
      </c>
      <c r="K60" s="23">
        <f t="shared" si="2"/>
        <v>1350.4394358541331</v>
      </c>
      <c r="M60" s="29"/>
    </row>
    <row r="61" spans="1:13" x14ac:dyDescent="0.2">
      <c r="A61" s="16" t="s">
        <v>82</v>
      </c>
      <c r="B61" s="32">
        <v>45609</v>
      </c>
      <c r="C61" s="18">
        <v>36.799999999999997</v>
      </c>
      <c r="D61" s="18">
        <v>37.6</v>
      </c>
      <c r="E61" s="19">
        <v>0.80000000000000426</v>
      </c>
      <c r="F61" s="24">
        <f t="shared" si="0"/>
        <v>155.65237976434398</v>
      </c>
      <c r="G61" s="21">
        <f t="shared" si="0"/>
        <v>87.766728827911606</v>
      </c>
      <c r="H61" s="25">
        <f t="shared" si="1"/>
        <v>31.130475952868796</v>
      </c>
      <c r="I61" s="23">
        <f t="shared" si="1"/>
        <v>17.553345765582321</v>
      </c>
      <c r="J61" s="25">
        <f t="shared" si="2"/>
        <v>2075.3650635245863</v>
      </c>
      <c r="K61" s="23">
        <f t="shared" si="2"/>
        <v>1170.2230510388215</v>
      </c>
      <c r="M61" s="29"/>
    </row>
    <row r="62" spans="1:13" x14ac:dyDescent="0.2">
      <c r="A62" s="16" t="s">
        <v>83</v>
      </c>
      <c r="B62" s="32">
        <v>45613</v>
      </c>
      <c r="C62" s="18">
        <v>38.200000000000003</v>
      </c>
      <c r="D62" s="18">
        <v>40</v>
      </c>
      <c r="E62" s="19">
        <v>1.7999999999999972</v>
      </c>
      <c r="F62" s="24">
        <f t="shared" si="0"/>
        <v>57.109784610057602</v>
      </c>
      <c r="G62" s="21">
        <f t="shared" si="0"/>
        <v>15.734478486590342</v>
      </c>
      <c r="H62" s="25">
        <f t="shared" si="1"/>
        <v>11.421956922011521</v>
      </c>
      <c r="I62" s="23">
        <f t="shared" si="1"/>
        <v>3.1468956973180684</v>
      </c>
      <c r="J62" s="25">
        <f t="shared" si="2"/>
        <v>761.46379480076803</v>
      </c>
      <c r="K62" s="23">
        <f t="shared" si="2"/>
        <v>209.79304648787124</v>
      </c>
      <c r="M62" s="29"/>
    </row>
    <row r="63" spans="1:13" x14ac:dyDescent="0.2">
      <c r="A63" s="16" t="s">
        <v>84</v>
      </c>
      <c r="B63" s="31" t="s">
        <v>85</v>
      </c>
      <c r="C63" s="18">
        <v>38.6</v>
      </c>
      <c r="D63" s="18">
        <v>37.9</v>
      </c>
      <c r="E63" s="19">
        <v>0.70000000000000284</v>
      </c>
      <c r="F63" s="24">
        <f t="shared" si="0"/>
        <v>42.884227939415759</v>
      </c>
      <c r="G63" s="21">
        <f t="shared" si="0"/>
        <v>70.797874115621497</v>
      </c>
      <c r="H63" s="25">
        <f t="shared" si="1"/>
        <v>8.5768455878831524</v>
      </c>
      <c r="I63" s="23">
        <f t="shared" si="1"/>
        <v>14.159574823124299</v>
      </c>
      <c r="J63" s="25">
        <f t="shared" si="2"/>
        <v>571.78970585887691</v>
      </c>
      <c r="K63" s="23">
        <f t="shared" si="2"/>
        <v>943.97165487495329</v>
      </c>
      <c r="M63" s="29"/>
    </row>
    <row r="64" spans="1:13" x14ac:dyDescent="0.2">
      <c r="A64" s="16" t="s">
        <v>86</v>
      </c>
      <c r="B64" s="31" t="s">
        <v>87</v>
      </c>
      <c r="C64" s="18">
        <v>38.700000000000003</v>
      </c>
      <c r="D64" s="18">
        <v>38.799999999999997</v>
      </c>
      <c r="E64" s="19">
        <v>9.9999999999994316E-2</v>
      </c>
      <c r="F64" s="24">
        <f t="shared" si="0"/>
        <v>39.920352188034933</v>
      </c>
      <c r="G64" s="21">
        <f t="shared" si="0"/>
        <v>37.161320032813549</v>
      </c>
      <c r="H64" s="25">
        <f t="shared" si="1"/>
        <v>7.9840704376069862</v>
      </c>
      <c r="I64" s="23">
        <f t="shared" si="1"/>
        <v>7.4322640065627095</v>
      </c>
      <c r="J64" s="25">
        <f t="shared" si="2"/>
        <v>532.27136250713249</v>
      </c>
      <c r="K64" s="23">
        <f t="shared" si="2"/>
        <v>495.48426710418067</v>
      </c>
      <c r="M64" s="29"/>
    </row>
    <row r="65" spans="1:13" x14ac:dyDescent="0.2">
      <c r="A65" s="27" t="s">
        <v>88</v>
      </c>
      <c r="B65" s="17">
        <v>45623</v>
      </c>
      <c r="C65" s="18">
        <v>38.1</v>
      </c>
      <c r="D65" s="18">
        <v>40.200000000000003</v>
      </c>
      <c r="E65" s="19">
        <v>2.1000000000000014</v>
      </c>
      <c r="F65" s="24">
        <f t="shared" si="0"/>
        <v>61.349885122574207</v>
      </c>
      <c r="G65" s="21">
        <f t="shared" si="0"/>
        <v>13.634709511749849</v>
      </c>
      <c r="H65" s="25">
        <f t="shared" si="1"/>
        <v>12.269977024514841</v>
      </c>
      <c r="I65" s="23">
        <f t="shared" si="1"/>
        <v>2.7269419023499699</v>
      </c>
      <c r="J65" s="25">
        <f t="shared" si="2"/>
        <v>817.99846830098943</v>
      </c>
      <c r="K65" s="23">
        <f t="shared" si="2"/>
        <v>181.79612682333135</v>
      </c>
      <c r="M65" s="29"/>
    </row>
    <row r="66" spans="1:13" x14ac:dyDescent="0.2">
      <c r="A66" s="16" t="s">
        <v>89</v>
      </c>
      <c r="B66" s="31" t="s">
        <v>90</v>
      </c>
      <c r="C66" s="18">
        <v>39.1</v>
      </c>
      <c r="D66" s="18">
        <v>40.4</v>
      </c>
      <c r="E66" s="19">
        <v>1.2999999999999972</v>
      </c>
      <c r="F66" s="20">
        <f t="shared" si="0"/>
        <v>29.976535445590763</v>
      </c>
      <c r="G66" s="21">
        <f t="shared" si="0"/>
        <v>11.815155083038816</v>
      </c>
      <c r="H66" s="22">
        <f t="shared" si="1"/>
        <v>5.9953070891181524</v>
      </c>
      <c r="I66" s="23">
        <f t="shared" si="1"/>
        <v>2.363031016607763</v>
      </c>
      <c r="J66" s="22">
        <f t="shared" si="2"/>
        <v>399.68713927454354</v>
      </c>
      <c r="K66" s="23">
        <f t="shared" si="2"/>
        <v>157.53540110718421</v>
      </c>
      <c r="M66" s="29"/>
    </row>
    <row r="67" spans="1:13" x14ac:dyDescent="0.2">
      <c r="A67" s="16" t="s">
        <v>91</v>
      </c>
      <c r="B67" s="31" t="s">
        <v>92</v>
      </c>
      <c r="C67" s="18">
        <v>37</v>
      </c>
      <c r="D67" s="18">
        <v>38.200000000000003</v>
      </c>
      <c r="E67" s="19">
        <v>1.2000000000000028</v>
      </c>
      <c r="F67" s="24">
        <f t="shared" si="0"/>
        <v>134.88054178014877</v>
      </c>
      <c r="G67" s="21">
        <f t="shared" si="0"/>
        <v>57.109784610057602</v>
      </c>
      <c r="H67" s="25">
        <f t="shared" si="1"/>
        <v>26.976108356029755</v>
      </c>
      <c r="I67" s="23">
        <f t="shared" si="1"/>
        <v>11.421956922011521</v>
      </c>
      <c r="J67" s="25">
        <f t="shared" si="2"/>
        <v>1798.4072237353171</v>
      </c>
      <c r="K67" s="23">
        <f t="shared" si="2"/>
        <v>761.46379480076803</v>
      </c>
      <c r="M67" s="29"/>
    </row>
    <row r="68" spans="1:13" x14ac:dyDescent="0.2">
      <c r="A68" s="16" t="s">
        <v>93</v>
      </c>
      <c r="B68" s="31" t="s">
        <v>94</v>
      </c>
      <c r="C68" s="18">
        <v>39.4</v>
      </c>
      <c r="D68" s="18">
        <v>38.5</v>
      </c>
      <c r="E68" s="19">
        <v>0.89999999999999858</v>
      </c>
      <c r="F68" s="20">
        <f t="shared" ref="F68:G81" si="3">10^((C68-43.848)/-3.2151)</f>
        <v>24.18086000516946</v>
      </c>
      <c r="G68" s="21">
        <f t="shared" si="3"/>
        <v>46.068155844350883</v>
      </c>
      <c r="H68" s="22">
        <f t="shared" ref="H68:I81" si="4">F68/5</f>
        <v>4.8361720010338924</v>
      </c>
      <c r="I68" s="23">
        <f t="shared" si="4"/>
        <v>9.213631168870176</v>
      </c>
      <c r="J68" s="22">
        <f t="shared" ref="J68:K81" si="5">H68*(50/5)*(1000/150)</f>
        <v>322.41146673559285</v>
      </c>
      <c r="K68" s="23">
        <f t="shared" si="5"/>
        <v>614.24207792467848</v>
      </c>
      <c r="M68" s="29"/>
    </row>
    <row r="69" spans="1:13" x14ac:dyDescent="0.2">
      <c r="A69" s="16" t="s">
        <v>95</v>
      </c>
      <c r="B69" s="32">
        <v>45637</v>
      </c>
      <c r="C69" s="18">
        <v>38.6</v>
      </c>
      <c r="D69" s="18">
        <v>38.1</v>
      </c>
      <c r="E69" s="19">
        <v>0.5</v>
      </c>
      <c r="F69" s="24">
        <f t="shared" si="3"/>
        <v>42.884227939415759</v>
      </c>
      <c r="G69" s="21">
        <f t="shared" si="3"/>
        <v>61.349885122574207</v>
      </c>
      <c r="H69" s="25">
        <f t="shared" si="4"/>
        <v>8.5768455878831524</v>
      </c>
      <c r="I69" s="23">
        <f t="shared" si="4"/>
        <v>12.269977024514841</v>
      </c>
      <c r="J69" s="25">
        <f t="shared" si="5"/>
        <v>571.78970585887691</v>
      </c>
      <c r="K69" s="23">
        <f t="shared" si="5"/>
        <v>817.99846830098943</v>
      </c>
      <c r="M69" s="29"/>
    </row>
    <row r="70" spans="1:13" x14ac:dyDescent="0.2">
      <c r="A70" s="16" t="s">
        <v>96</v>
      </c>
      <c r="B70" s="31" t="s">
        <v>97</v>
      </c>
      <c r="C70" s="18">
        <v>39.6</v>
      </c>
      <c r="D70" s="18">
        <v>39.200000000000003</v>
      </c>
      <c r="E70" s="19">
        <v>0.39999999999999858</v>
      </c>
      <c r="F70" s="20">
        <f t="shared" si="3"/>
        <v>20.953919902446113</v>
      </c>
      <c r="G70" s="21">
        <f t="shared" si="3"/>
        <v>27.904754495188403</v>
      </c>
      <c r="H70" s="22">
        <f t="shared" si="4"/>
        <v>4.1907839804892228</v>
      </c>
      <c r="I70" s="23">
        <f t="shared" si="4"/>
        <v>5.5809508990376804</v>
      </c>
      <c r="J70" s="22">
        <f t="shared" si="5"/>
        <v>279.3855986992815</v>
      </c>
      <c r="K70" s="23">
        <f t="shared" si="5"/>
        <v>372.06339326917873</v>
      </c>
      <c r="M70" s="29"/>
    </row>
    <row r="71" spans="1:13" x14ac:dyDescent="0.2">
      <c r="A71" s="16" t="s">
        <v>98</v>
      </c>
      <c r="B71" s="31" t="s">
        <v>99</v>
      </c>
      <c r="C71" s="18">
        <v>39.200000000000003</v>
      </c>
      <c r="D71" s="18">
        <v>37.9</v>
      </c>
      <c r="E71" s="19">
        <v>1.3000000000000043</v>
      </c>
      <c r="F71" s="20">
        <f t="shared" si="3"/>
        <v>27.904754495188403</v>
      </c>
      <c r="G71" s="21">
        <f t="shared" si="3"/>
        <v>70.797874115621497</v>
      </c>
      <c r="H71" s="22">
        <f t="shared" si="4"/>
        <v>5.5809508990376804</v>
      </c>
      <c r="I71" s="23">
        <f t="shared" si="4"/>
        <v>14.159574823124299</v>
      </c>
      <c r="J71" s="22">
        <f t="shared" si="5"/>
        <v>372.06339326917873</v>
      </c>
      <c r="K71" s="23">
        <f t="shared" si="5"/>
        <v>943.97165487495329</v>
      </c>
      <c r="M71" s="29"/>
    </row>
    <row r="72" spans="1:13" x14ac:dyDescent="0.2">
      <c r="A72" s="16" t="s">
        <v>100</v>
      </c>
      <c r="B72" s="31" t="s">
        <v>101</v>
      </c>
      <c r="C72" s="18">
        <v>38.9</v>
      </c>
      <c r="D72" s="18">
        <v>39.5</v>
      </c>
      <c r="E72" s="19">
        <v>0.60000000000000142</v>
      </c>
      <c r="F72" s="20">
        <f t="shared" si="3"/>
        <v>34.59297403180453</v>
      </c>
      <c r="G72" s="21">
        <f t="shared" si="3"/>
        <v>22.509638018426308</v>
      </c>
      <c r="H72" s="22">
        <f t="shared" si="4"/>
        <v>6.9185948063609057</v>
      </c>
      <c r="I72" s="23">
        <f t="shared" si="4"/>
        <v>4.501927603685262</v>
      </c>
      <c r="J72" s="22">
        <f t="shared" si="5"/>
        <v>461.23965375739374</v>
      </c>
      <c r="K72" s="23">
        <f t="shared" si="5"/>
        <v>300.12850691235082</v>
      </c>
      <c r="M72" s="29"/>
    </row>
    <row r="73" spans="1:13" x14ac:dyDescent="0.2">
      <c r="A73" s="27" t="s">
        <v>102</v>
      </c>
      <c r="B73" s="17">
        <v>45651</v>
      </c>
      <c r="C73" s="18">
        <v>38.1</v>
      </c>
      <c r="D73" s="18">
        <v>39.5</v>
      </c>
      <c r="E73" s="19">
        <v>1.3999999999999986</v>
      </c>
      <c r="F73" s="24">
        <f t="shared" si="3"/>
        <v>61.349885122574207</v>
      </c>
      <c r="G73" s="21">
        <f t="shared" si="3"/>
        <v>22.509638018426308</v>
      </c>
      <c r="H73" s="25">
        <f t="shared" si="4"/>
        <v>12.269977024514841</v>
      </c>
      <c r="I73" s="23">
        <f t="shared" si="4"/>
        <v>4.501927603685262</v>
      </c>
      <c r="J73" s="25">
        <f t="shared" si="5"/>
        <v>817.99846830098943</v>
      </c>
      <c r="K73" s="23">
        <f t="shared" si="5"/>
        <v>300.12850691235082</v>
      </c>
      <c r="M73" s="29"/>
    </row>
    <row r="74" spans="1:13" x14ac:dyDescent="0.2">
      <c r="A74" s="16" t="s">
        <v>103</v>
      </c>
      <c r="B74" s="31" t="s">
        <v>104</v>
      </c>
      <c r="C74" s="18">
        <v>39</v>
      </c>
      <c r="D74" s="18">
        <v>37.9</v>
      </c>
      <c r="E74" s="19">
        <v>1.1000000000000014</v>
      </c>
      <c r="F74" s="20">
        <f t="shared" si="3"/>
        <v>32.20213521232386</v>
      </c>
      <c r="G74" s="21">
        <f t="shared" si="3"/>
        <v>70.797874115621497</v>
      </c>
      <c r="H74" s="22">
        <f t="shared" si="4"/>
        <v>6.4404270424647718</v>
      </c>
      <c r="I74" s="23">
        <f t="shared" si="4"/>
        <v>14.159574823124299</v>
      </c>
      <c r="J74" s="22">
        <f t="shared" si="5"/>
        <v>429.3618028309848</v>
      </c>
      <c r="K74" s="23">
        <f t="shared" si="5"/>
        <v>943.97165487495329</v>
      </c>
      <c r="M74" s="29"/>
    </row>
    <row r="75" spans="1:13" x14ac:dyDescent="0.2">
      <c r="A75" s="16" t="s">
        <v>105</v>
      </c>
      <c r="B75" s="32">
        <v>45665</v>
      </c>
      <c r="C75" s="18">
        <v>37.700000000000003</v>
      </c>
      <c r="D75" s="18">
        <v>37.6</v>
      </c>
      <c r="E75" s="19">
        <v>0.10000000000000142</v>
      </c>
      <c r="F75" s="24">
        <f t="shared" si="3"/>
        <v>81.700869843145455</v>
      </c>
      <c r="G75" s="21">
        <f t="shared" si="3"/>
        <v>87.766728827911606</v>
      </c>
      <c r="H75" s="25">
        <f t="shared" si="4"/>
        <v>16.340173968629092</v>
      </c>
      <c r="I75" s="23">
        <f t="shared" si="4"/>
        <v>17.553345765582321</v>
      </c>
      <c r="J75" s="25">
        <f t="shared" si="5"/>
        <v>1089.3449312419395</v>
      </c>
      <c r="K75" s="23">
        <f t="shared" si="5"/>
        <v>1170.2230510388215</v>
      </c>
      <c r="M75" s="29"/>
    </row>
    <row r="76" spans="1:13" x14ac:dyDescent="0.2">
      <c r="A76" s="16" t="s">
        <v>106</v>
      </c>
      <c r="B76" s="32">
        <v>45669</v>
      </c>
      <c r="C76" s="18">
        <v>40</v>
      </c>
      <c r="D76" s="18">
        <v>40.799999999999997</v>
      </c>
      <c r="E76" s="19">
        <v>0.79999999999999716</v>
      </c>
      <c r="F76" s="20">
        <f t="shared" si="3"/>
        <v>15.734478486590342</v>
      </c>
      <c r="G76" s="21">
        <f t="shared" si="3"/>
        <v>8.8721014652776553</v>
      </c>
      <c r="H76" s="22">
        <f t="shared" si="4"/>
        <v>3.1468956973180684</v>
      </c>
      <c r="I76" s="23">
        <f t="shared" si="4"/>
        <v>1.7744202930555311</v>
      </c>
      <c r="J76" s="22">
        <f t="shared" si="5"/>
        <v>209.79304648787124</v>
      </c>
      <c r="K76" s="23">
        <f t="shared" si="5"/>
        <v>118.29468620370207</v>
      </c>
      <c r="M76" s="29"/>
    </row>
    <row r="77" spans="1:13" x14ac:dyDescent="0.2">
      <c r="A77" s="16" t="s">
        <v>107</v>
      </c>
      <c r="B77" s="31" t="s">
        <v>108</v>
      </c>
      <c r="C77" s="18">
        <v>40.4</v>
      </c>
      <c r="D77" s="18">
        <v>42.8</v>
      </c>
      <c r="E77" s="19">
        <v>2.3999999999999986</v>
      </c>
      <c r="F77" s="20">
        <f t="shared" si="3"/>
        <v>11.815155083038816</v>
      </c>
      <c r="G77" s="21">
        <f t="shared" si="3"/>
        <v>2.1181751439582093</v>
      </c>
      <c r="H77" s="22">
        <f t="shared" si="4"/>
        <v>2.363031016607763</v>
      </c>
      <c r="I77" s="23">
        <f t="shared" si="4"/>
        <v>0.42363502879164183</v>
      </c>
      <c r="J77" s="22">
        <f t="shared" si="5"/>
        <v>157.53540110718421</v>
      </c>
      <c r="K77" s="23">
        <f t="shared" si="5"/>
        <v>28.242335252776126</v>
      </c>
      <c r="M77" s="29"/>
    </row>
    <row r="78" spans="1:13" x14ac:dyDescent="0.2">
      <c r="A78" s="16" t="s">
        <v>109</v>
      </c>
      <c r="B78" s="32">
        <v>45676</v>
      </c>
      <c r="C78" s="18">
        <v>37</v>
      </c>
      <c r="D78" s="18">
        <v>37.299999999999997</v>
      </c>
      <c r="E78" s="19">
        <v>0.29999999999999716</v>
      </c>
      <c r="F78" s="24">
        <f t="shared" si="3"/>
        <v>134.88054178014877</v>
      </c>
      <c r="G78" s="21">
        <f t="shared" si="3"/>
        <v>108.80268348979354</v>
      </c>
      <c r="H78" s="25">
        <f t="shared" si="4"/>
        <v>26.976108356029755</v>
      </c>
      <c r="I78" s="23">
        <f t="shared" si="4"/>
        <v>21.760536697958706</v>
      </c>
      <c r="J78" s="25">
        <f t="shared" si="5"/>
        <v>1798.4072237353171</v>
      </c>
      <c r="K78" s="23">
        <f t="shared" si="5"/>
        <v>1450.7024465305806</v>
      </c>
      <c r="M78" s="29"/>
    </row>
    <row r="79" spans="1:13" x14ac:dyDescent="0.2">
      <c r="A79" s="16" t="s">
        <v>110</v>
      </c>
      <c r="B79" s="32">
        <v>45679</v>
      </c>
      <c r="C79" s="18">
        <v>38.9</v>
      </c>
      <c r="D79" s="18">
        <v>37.9</v>
      </c>
      <c r="E79" s="19">
        <v>1</v>
      </c>
      <c r="F79" s="20">
        <f t="shared" si="3"/>
        <v>34.59297403180453</v>
      </c>
      <c r="G79" s="21">
        <f t="shared" si="3"/>
        <v>70.797874115621497</v>
      </c>
      <c r="H79" s="22">
        <f t="shared" si="4"/>
        <v>6.9185948063609057</v>
      </c>
      <c r="I79" s="23">
        <f t="shared" si="4"/>
        <v>14.159574823124299</v>
      </c>
      <c r="J79" s="22">
        <f t="shared" si="5"/>
        <v>461.23965375739374</v>
      </c>
      <c r="K79" s="23">
        <f t="shared" si="5"/>
        <v>943.97165487495329</v>
      </c>
      <c r="M79" s="29"/>
    </row>
    <row r="80" spans="1:13" x14ac:dyDescent="0.2">
      <c r="A80" s="16" t="s">
        <v>111</v>
      </c>
      <c r="B80" s="31" t="s">
        <v>112</v>
      </c>
      <c r="C80" s="18">
        <v>39.5</v>
      </c>
      <c r="D80" s="18">
        <v>38.9</v>
      </c>
      <c r="E80" s="19">
        <v>0.60000000000000142</v>
      </c>
      <c r="F80" s="20">
        <f t="shared" si="3"/>
        <v>22.509638018426308</v>
      </c>
      <c r="G80" s="21">
        <f t="shared" si="3"/>
        <v>34.59297403180453</v>
      </c>
      <c r="H80" s="22">
        <f t="shared" si="4"/>
        <v>4.501927603685262</v>
      </c>
      <c r="I80" s="23">
        <f t="shared" si="4"/>
        <v>6.9185948063609057</v>
      </c>
      <c r="J80" s="22">
        <f t="shared" si="5"/>
        <v>300.12850691235082</v>
      </c>
      <c r="K80" s="23">
        <f t="shared" si="5"/>
        <v>461.23965375739374</v>
      </c>
      <c r="M80" s="29"/>
    </row>
    <row r="81" spans="1:13" ht="17" thickBot="1" x14ac:dyDescent="0.25">
      <c r="A81" s="33" t="s">
        <v>113</v>
      </c>
      <c r="B81" s="17">
        <v>45686</v>
      </c>
      <c r="C81" s="18">
        <v>38.6</v>
      </c>
      <c r="D81" s="18">
        <v>39.799999999999997</v>
      </c>
      <c r="E81" s="19">
        <v>1.1999999999999957</v>
      </c>
      <c r="F81" s="34">
        <f t="shared" si="3"/>
        <v>42.884227939415759</v>
      </c>
      <c r="G81" s="35">
        <f t="shared" si="3"/>
        <v>18.157615534942277</v>
      </c>
      <c r="H81" s="36">
        <f t="shared" si="4"/>
        <v>8.5768455878831524</v>
      </c>
      <c r="I81" s="37">
        <f t="shared" si="4"/>
        <v>3.6315231069884555</v>
      </c>
      <c r="J81" s="36">
        <f t="shared" si="5"/>
        <v>571.78970585887691</v>
      </c>
      <c r="K81" s="37">
        <f t="shared" si="5"/>
        <v>242.10154046589705</v>
      </c>
      <c r="M81" s="29"/>
    </row>
  </sheetData>
  <mergeCells count="3">
    <mergeCell ref="F2:G2"/>
    <mergeCell ref="H2:I2"/>
    <mergeCell ref="J2:K2"/>
  </mergeCells>
  <conditionalFormatting sqref="E3:E63">
    <cfRule type="cellIs" dxfId="0" priority="1" operator="greater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22F4-DA51-A04F-A1F3-1A0E2F3D9405}">
  <dimension ref="A1:P63"/>
  <sheetViews>
    <sheetView tabSelected="1" topLeftCell="A23" workbookViewId="0">
      <selection activeCell="H11" sqref="H11"/>
    </sheetView>
  </sheetViews>
  <sheetFormatPr baseColWidth="10" defaultRowHeight="16" x14ac:dyDescent="0.2"/>
  <sheetData>
    <row r="1" spans="1:16" x14ac:dyDescent="0.2">
      <c r="C1" s="38"/>
      <c r="D1" s="38"/>
      <c r="E1" s="38"/>
      <c r="F1" s="2" t="s">
        <v>0</v>
      </c>
      <c r="G1" s="3" t="s">
        <v>1</v>
      </c>
      <c r="H1" s="2" t="s">
        <v>0</v>
      </c>
      <c r="I1" s="3" t="s">
        <v>1</v>
      </c>
      <c r="J1" s="2" t="s">
        <v>0</v>
      </c>
      <c r="K1" s="3" t="s">
        <v>1</v>
      </c>
      <c r="L1" s="38"/>
      <c r="M1" s="38"/>
      <c r="N1" s="4"/>
      <c r="O1" s="5" t="s">
        <v>2</v>
      </c>
      <c r="P1" s="5" t="s">
        <v>3</v>
      </c>
    </row>
    <row r="2" spans="1:16" x14ac:dyDescent="0.2">
      <c r="A2" s="6" t="s">
        <v>4</v>
      </c>
      <c r="B2" s="7" t="s">
        <v>5</v>
      </c>
      <c r="C2" s="6" t="s">
        <v>114</v>
      </c>
      <c r="D2" s="6" t="s">
        <v>115</v>
      </c>
      <c r="E2" s="8" t="s">
        <v>8</v>
      </c>
      <c r="F2" s="39" t="s">
        <v>9</v>
      </c>
      <c r="G2" s="40" t="s">
        <v>116</v>
      </c>
      <c r="H2" s="9" t="s">
        <v>10</v>
      </c>
      <c r="I2" s="10"/>
      <c r="J2" s="9" t="s">
        <v>11</v>
      </c>
      <c r="K2" s="10"/>
      <c r="N2" s="13" t="s">
        <v>12</v>
      </c>
      <c r="O2" s="14">
        <v>38</v>
      </c>
      <c r="P2" s="15">
        <v>50</v>
      </c>
    </row>
    <row r="3" spans="1:16" x14ac:dyDescent="0.2">
      <c r="A3" s="41" t="s">
        <v>13</v>
      </c>
      <c r="B3" s="42">
        <v>45315</v>
      </c>
      <c r="C3" s="43">
        <v>39.299999999999997</v>
      </c>
      <c r="D3" s="44">
        <v>38.9</v>
      </c>
      <c r="E3" s="45">
        <v>0.39999999999999858</v>
      </c>
      <c r="F3" s="20">
        <f>10^((C3-43.867)/-3.4191)</f>
        <v>21.663649736767454</v>
      </c>
      <c r="G3" s="21">
        <f>10^((D3-43.867)/-3.4191)</f>
        <v>28.360995856039231</v>
      </c>
      <c r="H3" s="46">
        <f>F3/5</f>
        <v>4.3327299473534904</v>
      </c>
      <c r="I3" s="47">
        <f>G3/5</f>
        <v>5.6721991712078461</v>
      </c>
      <c r="J3" s="48">
        <f>H3*(50/5)*(1000/150)</f>
        <v>288.84866315689942</v>
      </c>
      <c r="K3" s="49">
        <f>I3*(50/5)*(1000/150)</f>
        <v>378.14661141385642</v>
      </c>
    </row>
    <row r="4" spans="1:16" x14ac:dyDescent="0.2">
      <c r="A4" s="41" t="s">
        <v>14</v>
      </c>
      <c r="B4" s="42">
        <v>45319</v>
      </c>
      <c r="C4" s="44">
        <v>37.9</v>
      </c>
      <c r="D4" s="44">
        <v>36.700000000000003</v>
      </c>
      <c r="E4" s="45">
        <v>1.1999999999999957</v>
      </c>
      <c r="F4" s="24">
        <f t="shared" ref="F4:G63" si="0">10^((C4-43.867)/-3.4191)</f>
        <v>55.615533068192541</v>
      </c>
      <c r="G4" s="21">
        <f t="shared" si="0"/>
        <v>124.78594079498397</v>
      </c>
      <c r="H4" s="46">
        <f t="shared" ref="H4:I63" si="1">F4/5</f>
        <v>11.123106613638509</v>
      </c>
      <c r="I4" s="47">
        <f t="shared" si="1"/>
        <v>24.957188158996793</v>
      </c>
      <c r="J4" s="50">
        <f t="shared" ref="J4:K63" si="2">H4*(50/5)*(1000/150)</f>
        <v>741.54044090923401</v>
      </c>
      <c r="K4" s="49">
        <f t="shared" si="2"/>
        <v>1663.8125439331195</v>
      </c>
      <c r="N4" s="26" t="s">
        <v>117</v>
      </c>
    </row>
    <row r="5" spans="1:16" x14ac:dyDescent="0.2">
      <c r="A5" s="44" t="s">
        <v>16</v>
      </c>
      <c r="B5" s="42">
        <v>45322</v>
      </c>
      <c r="C5" s="44">
        <v>35.4</v>
      </c>
      <c r="D5" s="44">
        <v>35.299999999999997</v>
      </c>
      <c r="E5" s="45">
        <v>0.10000000000000142</v>
      </c>
      <c r="F5" s="24">
        <f t="shared" si="0"/>
        <v>299.49023996082531</v>
      </c>
      <c r="G5" s="21">
        <f t="shared" si="0"/>
        <v>320.35398933497237</v>
      </c>
      <c r="H5" s="46">
        <f t="shared" si="1"/>
        <v>59.898047992165061</v>
      </c>
      <c r="I5" s="47">
        <f t="shared" si="1"/>
        <v>64.070797866994468</v>
      </c>
      <c r="J5" s="50">
        <f t="shared" si="2"/>
        <v>3993.2031994776708</v>
      </c>
      <c r="K5" s="49">
        <f t="shared" si="2"/>
        <v>4271.3865244662975</v>
      </c>
      <c r="N5" s="51">
        <f>26/61</f>
        <v>0.42622950819672129</v>
      </c>
    </row>
    <row r="6" spans="1:16" x14ac:dyDescent="0.2">
      <c r="A6" s="41" t="s">
        <v>18</v>
      </c>
      <c r="B6" s="42">
        <v>45340</v>
      </c>
      <c r="C6" s="43">
        <v>40.299999999999997</v>
      </c>
      <c r="D6" s="44">
        <v>37.799999999999997</v>
      </c>
      <c r="E6" s="45">
        <v>2.5</v>
      </c>
      <c r="F6" s="24">
        <f t="shared" si="0"/>
        <v>11.047321611712366</v>
      </c>
      <c r="G6" s="21">
        <f t="shared" si="0"/>
        <v>59.489944946843863</v>
      </c>
      <c r="H6" s="46">
        <f t="shared" si="1"/>
        <v>2.2094643223424733</v>
      </c>
      <c r="I6" s="47">
        <f t="shared" si="1"/>
        <v>11.897988989368773</v>
      </c>
      <c r="J6" s="50">
        <f t="shared" si="2"/>
        <v>147.29762148949823</v>
      </c>
      <c r="K6" s="49">
        <f t="shared" si="2"/>
        <v>793.19926595791821</v>
      </c>
    </row>
    <row r="7" spans="1:16" x14ac:dyDescent="0.2">
      <c r="A7" s="41" t="s">
        <v>118</v>
      </c>
      <c r="B7" s="42">
        <v>45343</v>
      </c>
      <c r="C7" s="43">
        <v>39.1</v>
      </c>
      <c r="D7" s="44">
        <v>41.5</v>
      </c>
      <c r="E7" s="45">
        <v>2.3999999999999986</v>
      </c>
      <c r="F7" s="20">
        <f t="shared" si="0"/>
        <v>24.787147484354545</v>
      </c>
      <c r="G7" s="21">
        <f t="shared" si="0"/>
        <v>4.9236530693836116</v>
      </c>
      <c r="H7" s="46">
        <f t="shared" si="1"/>
        <v>4.9574294968709092</v>
      </c>
      <c r="I7" s="47">
        <f t="shared" si="1"/>
        <v>0.98473061387672234</v>
      </c>
      <c r="J7" s="48">
        <f t="shared" si="2"/>
        <v>330.49529979139396</v>
      </c>
      <c r="K7" s="49">
        <f t="shared" si="2"/>
        <v>65.648707591781488</v>
      </c>
    </row>
    <row r="8" spans="1:16" x14ac:dyDescent="0.2">
      <c r="A8" s="41" t="s">
        <v>19</v>
      </c>
      <c r="B8" s="42">
        <v>45347</v>
      </c>
      <c r="C8" s="43">
        <v>39.1</v>
      </c>
      <c r="D8" s="44">
        <v>38.700000000000003</v>
      </c>
      <c r="E8" s="45">
        <v>0.39999999999999858</v>
      </c>
      <c r="F8" s="20">
        <f t="shared" si="0"/>
        <v>24.787147484354545</v>
      </c>
      <c r="G8" s="21">
        <f t="shared" si="0"/>
        <v>32.4501270851746</v>
      </c>
      <c r="H8" s="46">
        <f t="shared" si="1"/>
        <v>4.9574294968709092</v>
      </c>
      <c r="I8" s="47">
        <f t="shared" si="1"/>
        <v>6.4900254170349196</v>
      </c>
      <c r="J8" s="48">
        <f t="shared" si="2"/>
        <v>330.49529979139396</v>
      </c>
      <c r="K8" s="49">
        <f t="shared" si="2"/>
        <v>432.66836113566137</v>
      </c>
    </row>
    <row r="9" spans="1:16" x14ac:dyDescent="0.2">
      <c r="A9" s="44" t="s">
        <v>20</v>
      </c>
      <c r="B9" s="42">
        <v>45350</v>
      </c>
      <c r="C9" s="44">
        <v>37.6</v>
      </c>
      <c r="D9" s="44">
        <v>39.4</v>
      </c>
      <c r="E9" s="45">
        <v>1.7999999999999972</v>
      </c>
      <c r="F9" s="24">
        <f>10^((C9-43.867)/-3.4191)</f>
        <v>68.067295084211537</v>
      </c>
      <c r="G9" s="21">
        <f t="shared" si="0"/>
        <v>20.252757493547673</v>
      </c>
      <c r="H9" s="46">
        <f t="shared" si="1"/>
        <v>13.613459016842308</v>
      </c>
      <c r="I9" s="47">
        <f t="shared" si="1"/>
        <v>4.0505514987095346</v>
      </c>
      <c r="J9" s="50">
        <f t="shared" si="2"/>
        <v>907.5639344561539</v>
      </c>
      <c r="K9" s="49">
        <f t="shared" si="2"/>
        <v>270.03676658063563</v>
      </c>
    </row>
    <row r="10" spans="1:16" x14ac:dyDescent="0.2">
      <c r="A10" s="41" t="s">
        <v>27</v>
      </c>
      <c r="B10" s="42">
        <v>45385</v>
      </c>
      <c r="C10" s="44">
        <v>37.700000000000003</v>
      </c>
      <c r="D10" s="44">
        <v>38</v>
      </c>
      <c r="E10" s="45">
        <v>0.29999999999999716</v>
      </c>
      <c r="F10" s="24">
        <f t="shared" si="0"/>
        <v>63.634264647596126</v>
      </c>
      <c r="G10" s="21">
        <f t="shared" si="0"/>
        <v>51.993450678479995</v>
      </c>
      <c r="H10" s="46">
        <f t="shared" si="1"/>
        <v>12.726852929519225</v>
      </c>
      <c r="I10" s="47">
        <f t="shared" si="1"/>
        <v>10.398690135695999</v>
      </c>
      <c r="J10" s="50">
        <f t="shared" si="2"/>
        <v>848.45686196794838</v>
      </c>
      <c r="K10" s="49">
        <f t="shared" si="2"/>
        <v>693.24600904639999</v>
      </c>
    </row>
    <row r="11" spans="1:16" x14ac:dyDescent="0.2">
      <c r="A11" s="41" t="s">
        <v>28</v>
      </c>
      <c r="B11" s="42">
        <v>45389</v>
      </c>
      <c r="C11" s="44">
        <v>38.6</v>
      </c>
      <c r="D11" s="44">
        <v>37.299999999999997</v>
      </c>
      <c r="E11" s="45">
        <v>1.3000000000000043</v>
      </c>
      <c r="F11" s="20">
        <f t="shared" si="0"/>
        <v>34.710739380095688</v>
      </c>
      <c r="G11" s="21">
        <f t="shared" si="0"/>
        <v>83.306882169055982</v>
      </c>
      <c r="H11" s="46">
        <f t="shared" si="1"/>
        <v>6.9421478760191375</v>
      </c>
      <c r="I11" s="47">
        <f t="shared" si="1"/>
        <v>16.661376433811196</v>
      </c>
      <c r="J11" s="48">
        <f t="shared" si="2"/>
        <v>462.80985840127585</v>
      </c>
      <c r="K11" s="49">
        <f t="shared" si="2"/>
        <v>1110.7584289207464</v>
      </c>
    </row>
    <row r="12" spans="1:16" x14ac:dyDescent="0.2">
      <c r="A12" s="41" t="s">
        <v>29</v>
      </c>
      <c r="B12" s="42">
        <v>45396</v>
      </c>
      <c r="C12" s="44">
        <v>37.6</v>
      </c>
      <c r="D12" s="44">
        <v>37</v>
      </c>
      <c r="E12" s="45">
        <v>0.60000000000000142</v>
      </c>
      <c r="F12" s="24">
        <f t="shared" si="0"/>
        <v>68.067295084211537</v>
      </c>
      <c r="G12" s="21">
        <f t="shared" si="0"/>
        <v>101.95846049329363</v>
      </c>
      <c r="H12" s="46">
        <f t="shared" si="1"/>
        <v>13.613459016842308</v>
      </c>
      <c r="I12" s="47">
        <f t="shared" si="1"/>
        <v>20.391692098658726</v>
      </c>
      <c r="J12" s="50">
        <f t="shared" si="2"/>
        <v>907.5639344561539</v>
      </c>
      <c r="K12" s="49">
        <f t="shared" si="2"/>
        <v>1359.4461399105817</v>
      </c>
    </row>
    <row r="13" spans="1:16" x14ac:dyDescent="0.2">
      <c r="A13" s="41" t="s">
        <v>30</v>
      </c>
      <c r="B13" s="42">
        <v>45399</v>
      </c>
      <c r="C13" s="44">
        <v>38</v>
      </c>
      <c r="D13" s="44">
        <v>37.799999999999997</v>
      </c>
      <c r="E13" s="45">
        <v>0.20000000000000284</v>
      </c>
      <c r="F13" s="24">
        <f t="shared" si="0"/>
        <v>51.993450678479995</v>
      </c>
      <c r="G13" s="21">
        <f t="shared" si="0"/>
        <v>59.489944946843863</v>
      </c>
      <c r="H13" s="46">
        <f t="shared" si="1"/>
        <v>10.398690135695999</v>
      </c>
      <c r="I13" s="47">
        <f t="shared" si="1"/>
        <v>11.897988989368773</v>
      </c>
      <c r="J13" s="50">
        <f t="shared" si="2"/>
        <v>693.24600904639999</v>
      </c>
      <c r="K13" s="49">
        <f t="shared" si="2"/>
        <v>793.19926595791821</v>
      </c>
    </row>
    <row r="14" spans="1:16" x14ac:dyDescent="0.2">
      <c r="A14" s="41" t="s">
        <v>34</v>
      </c>
      <c r="B14" s="42">
        <v>45413</v>
      </c>
      <c r="C14" s="43">
        <v>39.4</v>
      </c>
      <c r="D14" s="44">
        <v>40</v>
      </c>
      <c r="E14" s="45">
        <v>0.60000000000000142</v>
      </c>
      <c r="F14" s="20">
        <f t="shared" si="0"/>
        <v>20.252757493547673</v>
      </c>
      <c r="G14" s="21">
        <f t="shared" si="0"/>
        <v>13.520706510402441</v>
      </c>
      <c r="H14" s="46">
        <f t="shared" si="1"/>
        <v>4.0505514987095346</v>
      </c>
      <c r="I14" s="47">
        <f t="shared" si="1"/>
        <v>2.7041413020804881</v>
      </c>
      <c r="J14" s="48">
        <f t="shared" si="2"/>
        <v>270.03676658063563</v>
      </c>
      <c r="K14" s="49">
        <f t="shared" si="2"/>
        <v>180.27608680536588</v>
      </c>
    </row>
    <row r="15" spans="1:16" x14ac:dyDescent="0.2">
      <c r="A15" s="44" t="s">
        <v>119</v>
      </c>
      <c r="B15" s="42">
        <v>45427</v>
      </c>
      <c r="C15" s="44">
        <v>25.1</v>
      </c>
      <c r="D15" s="44">
        <v>39.200000000000003</v>
      </c>
      <c r="E15" s="52">
        <v>14.100000000000001</v>
      </c>
      <c r="F15" s="20">
        <f t="shared" si="0"/>
        <v>308227.46921773872</v>
      </c>
      <c r="G15" s="21">
        <f t="shared" si="0"/>
        <v>23.172830665990091</v>
      </c>
      <c r="H15" s="46">
        <f t="shared" si="1"/>
        <v>61645.493843547745</v>
      </c>
      <c r="I15" s="47">
        <f t="shared" si="1"/>
        <v>4.6345661331980184</v>
      </c>
      <c r="J15" s="48">
        <f t="shared" si="2"/>
        <v>4109699.5895698499</v>
      </c>
      <c r="K15" s="49">
        <f t="shared" si="2"/>
        <v>308.97107554653456</v>
      </c>
    </row>
    <row r="16" spans="1:16" x14ac:dyDescent="0.2">
      <c r="A16" s="44" t="s">
        <v>120</v>
      </c>
      <c r="B16" s="42">
        <v>45431</v>
      </c>
      <c r="C16" s="44">
        <v>27.7</v>
      </c>
      <c r="D16" s="44">
        <v>39.9</v>
      </c>
      <c r="E16" s="52">
        <v>12.2</v>
      </c>
      <c r="F16" s="20">
        <f t="shared" si="0"/>
        <v>53510.290420888196</v>
      </c>
      <c r="G16" s="21">
        <f t="shared" si="0"/>
        <v>14.462615776064439</v>
      </c>
      <c r="H16" s="46">
        <f t="shared" si="1"/>
        <v>10702.058084177639</v>
      </c>
      <c r="I16" s="47">
        <f t="shared" si="1"/>
        <v>2.8925231552128876</v>
      </c>
      <c r="J16" s="48">
        <f t="shared" si="2"/>
        <v>713470.53894517594</v>
      </c>
      <c r="K16" s="49">
        <f t="shared" si="2"/>
        <v>192.83487701419253</v>
      </c>
    </row>
    <row r="17" spans="1:11" x14ac:dyDescent="0.2">
      <c r="A17" s="44" t="s">
        <v>121</v>
      </c>
      <c r="B17" s="42">
        <v>45434</v>
      </c>
      <c r="C17" s="44">
        <v>26.3</v>
      </c>
      <c r="D17" s="44">
        <v>38.6</v>
      </c>
      <c r="E17" s="52">
        <v>12.3</v>
      </c>
      <c r="F17" s="20">
        <f t="shared" si="0"/>
        <v>137373.12791485159</v>
      </c>
      <c r="G17" s="21">
        <f t="shared" si="0"/>
        <v>34.710739380095688</v>
      </c>
      <c r="H17" s="46">
        <f t="shared" si="1"/>
        <v>27474.625582970319</v>
      </c>
      <c r="I17" s="47">
        <f t="shared" si="1"/>
        <v>6.9421478760191375</v>
      </c>
      <c r="J17" s="48">
        <f t="shared" si="2"/>
        <v>1831641.7055313545</v>
      </c>
      <c r="K17" s="49">
        <f t="shared" si="2"/>
        <v>462.80985840127585</v>
      </c>
    </row>
    <row r="18" spans="1:11" x14ac:dyDescent="0.2">
      <c r="A18" s="44" t="s">
        <v>36</v>
      </c>
      <c r="B18" s="42">
        <v>45441</v>
      </c>
      <c r="C18" s="43">
        <v>39</v>
      </c>
      <c r="D18" s="44">
        <v>37.200000000000003</v>
      </c>
      <c r="E18" s="45">
        <v>1.7999999999999972</v>
      </c>
      <c r="F18" s="20">
        <f t="shared" si="0"/>
        <v>26.513924399960352</v>
      </c>
      <c r="G18" s="21">
        <f t="shared" si="0"/>
        <v>89.110389859136362</v>
      </c>
      <c r="H18" s="46">
        <f t="shared" si="1"/>
        <v>5.3027848799920703</v>
      </c>
      <c r="I18" s="47">
        <f t="shared" si="1"/>
        <v>17.822077971827273</v>
      </c>
      <c r="J18" s="48">
        <f t="shared" si="2"/>
        <v>353.51899199947138</v>
      </c>
      <c r="K18" s="49">
        <f t="shared" si="2"/>
        <v>1188.1385314551515</v>
      </c>
    </row>
    <row r="19" spans="1:11" x14ac:dyDescent="0.2">
      <c r="A19" s="44" t="s">
        <v>122</v>
      </c>
      <c r="B19" s="42">
        <v>45448</v>
      </c>
      <c r="C19" s="44">
        <v>23.9</v>
      </c>
      <c r="D19" s="44">
        <v>40.1</v>
      </c>
      <c r="E19" s="52">
        <v>16.200000000000003</v>
      </c>
      <c r="F19" s="20">
        <f t="shared" si="0"/>
        <v>691577.56121895358</v>
      </c>
      <c r="G19" s="21">
        <f t="shared" si="0"/>
        <v>12.640141131522553</v>
      </c>
      <c r="H19" s="46">
        <f t="shared" si="1"/>
        <v>138315.51224379073</v>
      </c>
      <c r="I19" s="47">
        <f t="shared" si="1"/>
        <v>2.5280282263045106</v>
      </c>
      <c r="J19" s="48">
        <f t="shared" si="2"/>
        <v>9221034.1495860498</v>
      </c>
      <c r="K19" s="49">
        <f t="shared" si="2"/>
        <v>168.53521508696738</v>
      </c>
    </row>
    <row r="20" spans="1:11" x14ac:dyDescent="0.2">
      <c r="A20" s="41" t="s">
        <v>38</v>
      </c>
      <c r="B20" s="42">
        <v>45466</v>
      </c>
      <c r="C20" s="44">
        <v>37.799999999999997</v>
      </c>
      <c r="D20" s="44">
        <v>39.5</v>
      </c>
      <c r="E20" s="45">
        <v>1.7000000000000028</v>
      </c>
      <c r="F20" s="24">
        <f t="shared" si="0"/>
        <v>59.489944946843863</v>
      </c>
      <c r="G20" s="21">
        <f t="shared" si="0"/>
        <v>18.933752672168875</v>
      </c>
      <c r="H20" s="46">
        <f t="shared" si="1"/>
        <v>11.897988989368773</v>
      </c>
      <c r="I20" s="47">
        <f t="shared" si="1"/>
        <v>3.7867505344337751</v>
      </c>
      <c r="J20" s="50">
        <f t="shared" si="2"/>
        <v>793.19926595791821</v>
      </c>
      <c r="K20" s="49">
        <f t="shared" si="2"/>
        <v>252.45003562891836</v>
      </c>
    </row>
    <row r="21" spans="1:11" x14ac:dyDescent="0.2">
      <c r="A21" s="44" t="s">
        <v>39</v>
      </c>
      <c r="B21" s="42">
        <v>45469</v>
      </c>
      <c r="C21" s="44">
        <v>37.1</v>
      </c>
      <c r="D21" s="44">
        <v>38.9</v>
      </c>
      <c r="E21" s="45">
        <v>1.7999999999999972</v>
      </c>
      <c r="F21" s="24">
        <f t="shared" si="0"/>
        <v>95.318194296759245</v>
      </c>
      <c r="G21" s="21">
        <f t="shared" si="0"/>
        <v>28.360995856039231</v>
      </c>
      <c r="H21" s="46">
        <f t="shared" si="1"/>
        <v>19.063638859351848</v>
      </c>
      <c r="I21" s="47">
        <f t="shared" si="1"/>
        <v>5.6721991712078461</v>
      </c>
      <c r="J21" s="50">
        <f t="shared" si="2"/>
        <v>1270.9092572901232</v>
      </c>
      <c r="K21" s="49">
        <f t="shared" si="2"/>
        <v>378.14661141385642</v>
      </c>
    </row>
    <row r="22" spans="1:11" x14ac:dyDescent="0.2">
      <c r="A22" s="41" t="s">
        <v>40</v>
      </c>
      <c r="B22" s="42">
        <v>45473</v>
      </c>
      <c r="C22" s="43">
        <v>40</v>
      </c>
      <c r="D22" s="44">
        <v>39</v>
      </c>
      <c r="E22" s="45">
        <v>1</v>
      </c>
      <c r="F22" s="20">
        <f t="shared" si="0"/>
        <v>13.520706510402441</v>
      </c>
      <c r="G22" s="21">
        <f t="shared" si="0"/>
        <v>26.513924399960352</v>
      </c>
      <c r="H22" s="46">
        <f t="shared" si="1"/>
        <v>2.7041413020804881</v>
      </c>
      <c r="I22" s="47">
        <f t="shared" si="1"/>
        <v>5.3027848799920703</v>
      </c>
      <c r="J22" s="48">
        <f t="shared" si="2"/>
        <v>180.27608680536588</v>
      </c>
      <c r="K22" s="49">
        <f t="shared" si="2"/>
        <v>353.51899199947138</v>
      </c>
    </row>
    <row r="23" spans="1:11" x14ac:dyDescent="0.2">
      <c r="A23" s="41" t="s">
        <v>44</v>
      </c>
      <c r="B23" s="53">
        <v>45483</v>
      </c>
      <c r="C23" s="43">
        <v>39.1</v>
      </c>
      <c r="D23" s="44">
        <v>40.200000000000003</v>
      </c>
      <c r="E23" s="45">
        <v>1.1000000000000014</v>
      </c>
      <c r="F23" s="20">
        <f t="shared" si="0"/>
        <v>24.787147484354545</v>
      </c>
      <c r="G23" s="21">
        <f t="shared" si="0"/>
        <v>11.816924485557266</v>
      </c>
      <c r="H23" s="46">
        <f t="shared" si="1"/>
        <v>4.9574294968709092</v>
      </c>
      <c r="I23" s="47">
        <f t="shared" si="1"/>
        <v>2.3633848971114531</v>
      </c>
      <c r="J23" s="48">
        <f t="shared" si="2"/>
        <v>330.49529979139396</v>
      </c>
      <c r="K23" s="49">
        <f t="shared" si="2"/>
        <v>157.55899314076356</v>
      </c>
    </row>
    <row r="24" spans="1:11" x14ac:dyDescent="0.2">
      <c r="A24" s="41" t="s">
        <v>47</v>
      </c>
      <c r="B24" s="53">
        <v>45501</v>
      </c>
      <c r="C24" s="43">
        <v>39.1</v>
      </c>
      <c r="D24" s="44">
        <v>37.200000000000003</v>
      </c>
      <c r="E24" s="45">
        <v>1.8999999999999986</v>
      </c>
      <c r="F24" s="20">
        <f t="shared" si="0"/>
        <v>24.787147484354545</v>
      </c>
      <c r="G24" s="21">
        <f t="shared" si="0"/>
        <v>89.110389859136362</v>
      </c>
      <c r="H24" s="46">
        <f t="shared" si="1"/>
        <v>4.9574294968709092</v>
      </c>
      <c r="I24" s="47">
        <f t="shared" si="1"/>
        <v>17.822077971827273</v>
      </c>
      <c r="J24" s="48">
        <f t="shared" si="2"/>
        <v>330.49529979139396</v>
      </c>
      <c r="K24" s="49">
        <f t="shared" si="2"/>
        <v>1188.1385314551515</v>
      </c>
    </row>
    <row r="25" spans="1:11" x14ac:dyDescent="0.2">
      <c r="A25" s="41" t="s">
        <v>49</v>
      </c>
      <c r="B25" s="53">
        <v>45511</v>
      </c>
      <c r="C25" s="44">
        <v>38</v>
      </c>
      <c r="D25" s="44">
        <v>37.4</v>
      </c>
      <c r="E25" s="45">
        <v>0.60000000000000142</v>
      </c>
      <c r="F25" s="24">
        <f t="shared" si="0"/>
        <v>51.993450678479995</v>
      </c>
      <c r="G25" s="21">
        <f t="shared" si="0"/>
        <v>77.881340522688731</v>
      </c>
      <c r="H25" s="46">
        <f t="shared" si="1"/>
        <v>10.398690135695999</v>
      </c>
      <c r="I25" s="47">
        <f t="shared" si="1"/>
        <v>15.576268104537746</v>
      </c>
      <c r="J25" s="50">
        <f t="shared" si="2"/>
        <v>693.24600904639999</v>
      </c>
      <c r="K25" s="49">
        <f t="shared" si="2"/>
        <v>1038.4178736358499</v>
      </c>
    </row>
    <row r="26" spans="1:11" x14ac:dyDescent="0.2">
      <c r="A26" s="41" t="s">
        <v>52</v>
      </c>
      <c r="B26" s="53">
        <v>45515</v>
      </c>
      <c r="C26" s="44">
        <v>38.700000000000003</v>
      </c>
      <c r="D26" s="44">
        <v>41.4</v>
      </c>
      <c r="E26" s="45">
        <v>2.6999999999999957</v>
      </c>
      <c r="F26" s="20">
        <f t="shared" si="0"/>
        <v>32.4501270851746</v>
      </c>
      <c r="G26" s="21">
        <f t="shared" si="0"/>
        <v>5.2666554445471787</v>
      </c>
      <c r="H26" s="46">
        <f t="shared" si="1"/>
        <v>6.4900254170349196</v>
      </c>
      <c r="I26" s="47">
        <f t="shared" si="1"/>
        <v>1.0533310889094358</v>
      </c>
      <c r="J26" s="48">
        <f t="shared" si="2"/>
        <v>432.66836113566137</v>
      </c>
      <c r="K26" s="49">
        <f t="shared" si="2"/>
        <v>70.222072593962395</v>
      </c>
    </row>
    <row r="27" spans="1:11" x14ac:dyDescent="0.2">
      <c r="A27" s="41" t="s">
        <v>54</v>
      </c>
      <c r="B27" s="54" t="s">
        <v>55</v>
      </c>
      <c r="C27" s="43">
        <v>39</v>
      </c>
      <c r="D27" s="44">
        <v>39.5</v>
      </c>
      <c r="E27" s="45">
        <v>0.5</v>
      </c>
      <c r="F27" s="20">
        <f t="shared" si="0"/>
        <v>26.513924399960352</v>
      </c>
      <c r="G27" s="21">
        <f t="shared" si="0"/>
        <v>18.933752672168875</v>
      </c>
      <c r="H27" s="46">
        <f t="shared" si="1"/>
        <v>5.3027848799920703</v>
      </c>
      <c r="I27" s="47">
        <f t="shared" si="1"/>
        <v>3.7867505344337751</v>
      </c>
      <c r="J27" s="48">
        <f t="shared" si="2"/>
        <v>353.51899199947138</v>
      </c>
      <c r="K27" s="49">
        <f t="shared" si="2"/>
        <v>252.45003562891836</v>
      </c>
    </row>
    <row r="28" spans="1:11" x14ac:dyDescent="0.2">
      <c r="A28" s="41" t="s">
        <v>56</v>
      </c>
      <c r="B28" s="54" t="s">
        <v>57</v>
      </c>
      <c r="C28" s="44">
        <v>38.5</v>
      </c>
      <c r="D28" s="44">
        <v>40.299999999999997</v>
      </c>
      <c r="E28" s="45">
        <v>1.7999999999999972</v>
      </c>
      <c r="F28" s="20">
        <f t="shared" si="0"/>
        <v>37.128835432616064</v>
      </c>
      <c r="G28" s="21">
        <f t="shared" si="0"/>
        <v>11.047321611712366</v>
      </c>
      <c r="H28" s="46">
        <f t="shared" si="1"/>
        <v>7.425767086523213</v>
      </c>
      <c r="I28" s="47">
        <f t="shared" si="1"/>
        <v>2.2094643223424733</v>
      </c>
      <c r="J28" s="48">
        <f t="shared" si="2"/>
        <v>495.05113910154756</v>
      </c>
      <c r="K28" s="49">
        <f t="shared" si="2"/>
        <v>147.29762148949823</v>
      </c>
    </row>
    <row r="29" spans="1:11" x14ac:dyDescent="0.2">
      <c r="A29" s="41" t="s">
        <v>58</v>
      </c>
      <c r="B29" s="54" t="s">
        <v>59</v>
      </c>
      <c r="C29" s="44">
        <v>38.5</v>
      </c>
      <c r="D29" s="44">
        <v>39.5</v>
      </c>
      <c r="E29" s="45">
        <v>1</v>
      </c>
      <c r="F29" s="20">
        <f t="shared" si="0"/>
        <v>37.128835432616064</v>
      </c>
      <c r="G29" s="21">
        <f t="shared" si="0"/>
        <v>18.933752672168875</v>
      </c>
      <c r="H29" s="46">
        <f t="shared" si="1"/>
        <v>7.425767086523213</v>
      </c>
      <c r="I29" s="47">
        <f t="shared" si="1"/>
        <v>3.7867505344337751</v>
      </c>
      <c r="J29" s="48">
        <f t="shared" si="2"/>
        <v>495.05113910154756</v>
      </c>
      <c r="K29" s="49">
        <f t="shared" si="2"/>
        <v>252.45003562891836</v>
      </c>
    </row>
    <row r="30" spans="1:11" x14ac:dyDescent="0.2">
      <c r="A30" s="41" t="s">
        <v>62</v>
      </c>
      <c r="B30" s="53">
        <v>45550</v>
      </c>
      <c r="C30" s="44">
        <v>37.5</v>
      </c>
      <c r="D30" s="44">
        <v>38</v>
      </c>
      <c r="E30" s="45">
        <v>0.5</v>
      </c>
      <c r="F30" s="24">
        <f t="shared" si="0"/>
        <v>72.809149060484216</v>
      </c>
      <c r="G30" s="21">
        <f t="shared" si="0"/>
        <v>51.993450678479995</v>
      </c>
      <c r="H30" s="46">
        <f t="shared" si="1"/>
        <v>14.561829812096843</v>
      </c>
      <c r="I30" s="47">
        <f t="shared" si="1"/>
        <v>10.398690135695999</v>
      </c>
      <c r="J30" s="50">
        <f t="shared" si="2"/>
        <v>970.78865413978963</v>
      </c>
      <c r="K30" s="49">
        <f t="shared" si="2"/>
        <v>693.24600904639999</v>
      </c>
    </row>
    <row r="31" spans="1:11" x14ac:dyDescent="0.2">
      <c r="A31" s="41" t="s">
        <v>63</v>
      </c>
      <c r="B31" s="54" t="s">
        <v>64</v>
      </c>
      <c r="C31" s="44">
        <v>36.700000000000003</v>
      </c>
      <c r="D31" s="44">
        <v>38.5</v>
      </c>
      <c r="E31" s="45">
        <v>1.7999999999999972</v>
      </c>
      <c r="F31" s="24">
        <f t="shared" si="0"/>
        <v>124.78594079498397</v>
      </c>
      <c r="G31" s="21">
        <f t="shared" si="0"/>
        <v>37.128835432616064</v>
      </c>
      <c r="H31" s="46">
        <f t="shared" si="1"/>
        <v>24.957188158996793</v>
      </c>
      <c r="I31" s="47">
        <f t="shared" si="1"/>
        <v>7.425767086523213</v>
      </c>
      <c r="J31" s="50">
        <f t="shared" si="2"/>
        <v>1663.8125439331195</v>
      </c>
      <c r="K31" s="49">
        <f t="shared" si="2"/>
        <v>495.05113910154756</v>
      </c>
    </row>
    <row r="32" spans="1:11" x14ac:dyDescent="0.2">
      <c r="A32" s="41" t="s">
        <v>123</v>
      </c>
      <c r="B32" s="53">
        <v>45557</v>
      </c>
      <c r="C32" s="44">
        <v>38.700000000000003</v>
      </c>
      <c r="D32" s="44">
        <v>39.299999999999997</v>
      </c>
      <c r="E32" s="45">
        <v>0.59999999999999432</v>
      </c>
      <c r="F32" s="20">
        <f t="shared" si="0"/>
        <v>32.4501270851746</v>
      </c>
      <c r="G32" s="21">
        <f t="shared" si="0"/>
        <v>21.663649736767454</v>
      </c>
      <c r="H32" s="46">
        <f t="shared" si="1"/>
        <v>6.4900254170349196</v>
      </c>
      <c r="I32" s="47">
        <f t="shared" si="1"/>
        <v>4.3327299473534904</v>
      </c>
      <c r="J32" s="48">
        <f t="shared" si="2"/>
        <v>432.66836113566137</v>
      </c>
      <c r="K32" s="49">
        <f t="shared" si="2"/>
        <v>288.84866315689942</v>
      </c>
    </row>
    <row r="33" spans="1:14" x14ac:dyDescent="0.2">
      <c r="A33" s="44" t="s">
        <v>65</v>
      </c>
      <c r="B33" s="42">
        <v>45560</v>
      </c>
      <c r="C33" s="43">
        <v>39.6</v>
      </c>
      <c r="D33" s="44">
        <v>39.1</v>
      </c>
      <c r="E33" s="45">
        <v>0.5</v>
      </c>
      <c r="F33" s="20">
        <f t="shared" si="0"/>
        <v>17.700650904701376</v>
      </c>
      <c r="G33" s="21">
        <f t="shared" si="0"/>
        <v>24.787147484354545</v>
      </c>
      <c r="H33" s="46">
        <f t="shared" si="1"/>
        <v>3.5401301809402752</v>
      </c>
      <c r="I33" s="47">
        <f t="shared" si="1"/>
        <v>4.9574294968709092</v>
      </c>
      <c r="J33" s="48">
        <f t="shared" si="2"/>
        <v>236.00867872935169</v>
      </c>
      <c r="K33" s="49">
        <f t="shared" si="2"/>
        <v>330.49529979139396</v>
      </c>
    </row>
    <row r="34" spans="1:14" x14ac:dyDescent="0.2">
      <c r="A34" s="41" t="s">
        <v>66</v>
      </c>
      <c r="B34" s="53">
        <v>45564</v>
      </c>
      <c r="C34" s="44">
        <v>38.200000000000003</v>
      </c>
      <c r="D34" s="44">
        <v>39.200000000000003</v>
      </c>
      <c r="E34" s="45">
        <v>1</v>
      </c>
      <c r="F34" s="20">
        <f t="shared" si="0"/>
        <v>45.441610609507741</v>
      </c>
      <c r="G34" s="21">
        <f t="shared" si="0"/>
        <v>23.172830665990091</v>
      </c>
      <c r="H34" s="46">
        <f t="shared" si="1"/>
        <v>9.0883221219015482</v>
      </c>
      <c r="I34" s="47">
        <f t="shared" si="1"/>
        <v>4.6345661331980184</v>
      </c>
      <c r="J34" s="48">
        <f t="shared" si="2"/>
        <v>605.88814146010327</v>
      </c>
      <c r="K34" s="49">
        <f t="shared" si="2"/>
        <v>308.97107554653456</v>
      </c>
    </row>
    <row r="35" spans="1:14" x14ac:dyDescent="0.2">
      <c r="A35" s="41" t="s">
        <v>67</v>
      </c>
      <c r="B35" s="53">
        <v>45567</v>
      </c>
      <c r="C35" s="44">
        <v>40</v>
      </c>
      <c r="D35" s="44">
        <v>39</v>
      </c>
      <c r="E35" s="45">
        <v>1</v>
      </c>
      <c r="F35" s="20">
        <f t="shared" si="0"/>
        <v>13.520706510402441</v>
      </c>
      <c r="G35" s="21">
        <f t="shared" si="0"/>
        <v>26.513924399960352</v>
      </c>
      <c r="H35" s="46">
        <f t="shared" si="1"/>
        <v>2.7041413020804881</v>
      </c>
      <c r="I35" s="47">
        <f t="shared" si="1"/>
        <v>5.3027848799920703</v>
      </c>
      <c r="J35" s="48">
        <f t="shared" si="2"/>
        <v>180.27608680536588</v>
      </c>
      <c r="K35" s="49">
        <f t="shared" si="2"/>
        <v>353.51899199947138</v>
      </c>
    </row>
    <row r="36" spans="1:14" x14ac:dyDescent="0.2">
      <c r="A36" s="41" t="s">
        <v>68</v>
      </c>
      <c r="B36" s="53">
        <v>45571</v>
      </c>
      <c r="C36" s="43">
        <v>39.6</v>
      </c>
      <c r="D36" s="44">
        <v>40</v>
      </c>
      <c r="E36" s="45">
        <v>0.39999999999999858</v>
      </c>
      <c r="F36" s="20">
        <f t="shared" si="0"/>
        <v>17.700650904701376</v>
      </c>
      <c r="G36" s="21">
        <f t="shared" si="0"/>
        <v>13.520706510402441</v>
      </c>
      <c r="H36" s="46">
        <f t="shared" si="1"/>
        <v>3.5401301809402752</v>
      </c>
      <c r="I36" s="47">
        <f t="shared" si="1"/>
        <v>2.7041413020804881</v>
      </c>
      <c r="J36" s="48">
        <f t="shared" si="2"/>
        <v>236.00867872935169</v>
      </c>
      <c r="K36" s="49">
        <f t="shared" si="2"/>
        <v>180.27608680536588</v>
      </c>
    </row>
    <row r="37" spans="1:14" x14ac:dyDescent="0.2">
      <c r="A37" s="41" t="s">
        <v>124</v>
      </c>
      <c r="B37" s="53">
        <v>45574</v>
      </c>
      <c r="C37" s="43">
        <v>40.299999999999997</v>
      </c>
      <c r="D37" s="44">
        <v>39.9</v>
      </c>
      <c r="E37" s="45">
        <v>0.39999999999999858</v>
      </c>
      <c r="F37" s="20">
        <f t="shared" si="0"/>
        <v>11.047321611712366</v>
      </c>
      <c r="G37" s="21">
        <f t="shared" si="0"/>
        <v>14.462615776064439</v>
      </c>
      <c r="H37" s="46">
        <f t="shared" si="1"/>
        <v>2.2094643223424733</v>
      </c>
      <c r="I37" s="47">
        <f t="shared" si="1"/>
        <v>2.8925231552128876</v>
      </c>
      <c r="J37" s="48">
        <f t="shared" si="2"/>
        <v>147.29762148949823</v>
      </c>
      <c r="K37" s="49">
        <f t="shared" si="2"/>
        <v>192.83487701419253</v>
      </c>
      <c r="L37" s="55"/>
      <c r="M37" s="38"/>
      <c r="N37" s="38"/>
    </row>
    <row r="38" spans="1:14" x14ac:dyDescent="0.2">
      <c r="A38" s="41" t="s">
        <v>69</v>
      </c>
      <c r="B38" s="53">
        <v>45578</v>
      </c>
      <c r="C38" s="43">
        <v>41</v>
      </c>
      <c r="D38" s="44">
        <v>40.200000000000003</v>
      </c>
      <c r="E38" s="45">
        <v>0.79999999999999716</v>
      </c>
      <c r="F38" s="20">
        <f t="shared" si="0"/>
        <v>6.894848977570156</v>
      </c>
      <c r="G38" s="21">
        <f t="shared" si="0"/>
        <v>11.816924485557266</v>
      </c>
      <c r="H38" s="46">
        <f t="shared" si="1"/>
        <v>1.3789697955140312</v>
      </c>
      <c r="I38" s="47">
        <f t="shared" si="1"/>
        <v>2.3633848971114531</v>
      </c>
      <c r="J38" s="48">
        <f t="shared" si="2"/>
        <v>91.931319700935418</v>
      </c>
      <c r="K38" s="49">
        <f t="shared" si="2"/>
        <v>157.55899314076356</v>
      </c>
      <c r="L38" s="38"/>
      <c r="M38" s="38"/>
      <c r="N38" s="38"/>
    </row>
    <row r="39" spans="1:14" x14ac:dyDescent="0.2">
      <c r="A39" s="41" t="s">
        <v>70</v>
      </c>
      <c r="B39" s="54" t="s">
        <v>71</v>
      </c>
      <c r="C39" s="44">
        <v>36.700000000000003</v>
      </c>
      <c r="D39" s="44">
        <v>35.9</v>
      </c>
      <c r="E39" s="45">
        <v>0.80000000000000426</v>
      </c>
      <c r="F39" s="24">
        <f t="shared" si="0"/>
        <v>124.78594079498397</v>
      </c>
      <c r="G39" s="21">
        <f t="shared" si="0"/>
        <v>213.86777926979582</v>
      </c>
      <c r="H39" s="46">
        <f t="shared" si="1"/>
        <v>24.957188158996793</v>
      </c>
      <c r="I39" s="47">
        <f t="shared" si="1"/>
        <v>42.773555853959166</v>
      </c>
      <c r="J39" s="50">
        <f t="shared" si="2"/>
        <v>1663.8125439331195</v>
      </c>
      <c r="K39" s="49">
        <f t="shared" si="2"/>
        <v>2851.5703902639448</v>
      </c>
      <c r="L39" s="38"/>
      <c r="M39" s="38"/>
      <c r="N39" s="38"/>
    </row>
    <row r="40" spans="1:14" x14ac:dyDescent="0.2">
      <c r="A40" s="41" t="s">
        <v>72</v>
      </c>
      <c r="B40" s="53">
        <v>45585</v>
      </c>
      <c r="C40" s="43">
        <v>39.299999999999997</v>
      </c>
      <c r="D40" s="44">
        <v>37.200000000000003</v>
      </c>
      <c r="E40" s="45">
        <v>2.0999999999999943</v>
      </c>
      <c r="F40" s="20">
        <f t="shared" si="0"/>
        <v>21.663649736767454</v>
      </c>
      <c r="G40" s="21">
        <f t="shared" si="0"/>
        <v>89.110389859136362</v>
      </c>
      <c r="H40" s="46">
        <f t="shared" si="1"/>
        <v>4.3327299473534904</v>
      </c>
      <c r="I40" s="47">
        <f t="shared" si="1"/>
        <v>17.822077971827273</v>
      </c>
      <c r="J40" s="48">
        <f t="shared" si="2"/>
        <v>288.84866315689942</v>
      </c>
      <c r="K40" s="49">
        <f t="shared" si="2"/>
        <v>1188.1385314551515</v>
      </c>
      <c r="L40" s="38"/>
      <c r="M40" s="38"/>
      <c r="N40" s="38"/>
    </row>
    <row r="41" spans="1:14" x14ac:dyDescent="0.2">
      <c r="A41" s="41" t="s">
        <v>74</v>
      </c>
      <c r="B41" s="53">
        <v>45592</v>
      </c>
      <c r="C41" s="44">
        <v>38</v>
      </c>
      <c r="D41" s="44">
        <v>37.4</v>
      </c>
      <c r="E41" s="45">
        <v>0.60000000000000142</v>
      </c>
      <c r="F41" s="24">
        <f t="shared" si="0"/>
        <v>51.993450678479995</v>
      </c>
      <c r="G41" s="21">
        <f t="shared" si="0"/>
        <v>77.881340522688731</v>
      </c>
      <c r="H41" s="46">
        <f t="shared" si="1"/>
        <v>10.398690135695999</v>
      </c>
      <c r="I41" s="47">
        <f t="shared" si="1"/>
        <v>15.576268104537746</v>
      </c>
      <c r="J41" s="50">
        <f t="shared" si="2"/>
        <v>693.24600904639999</v>
      </c>
      <c r="K41" s="49">
        <f t="shared" si="2"/>
        <v>1038.4178736358499</v>
      </c>
      <c r="L41" s="38"/>
      <c r="M41" s="38"/>
      <c r="N41" s="38"/>
    </row>
    <row r="42" spans="1:14" x14ac:dyDescent="0.2">
      <c r="A42" s="44" t="s">
        <v>75</v>
      </c>
      <c r="B42" s="42">
        <v>45595</v>
      </c>
      <c r="C42" s="44">
        <v>37.9</v>
      </c>
      <c r="D42" s="44">
        <v>36.200000000000003</v>
      </c>
      <c r="E42" s="45">
        <v>1.6999999999999957</v>
      </c>
      <c r="F42" s="24">
        <f t="shared" si="0"/>
        <v>55.615533068192541</v>
      </c>
      <c r="G42" s="21">
        <f t="shared" si="0"/>
        <v>174.74428116299737</v>
      </c>
      <c r="H42" s="46">
        <f t="shared" si="1"/>
        <v>11.123106613638509</v>
      </c>
      <c r="I42" s="47">
        <f t="shared" si="1"/>
        <v>34.948856232599475</v>
      </c>
      <c r="J42" s="50">
        <f t="shared" si="2"/>
        <v>741.54044090923401</v>
      </c>
      <c r="K42" s="49">
        <f t="shared" si="2"/>
        <v>2329.9237488399649</v>
      </c>
      <c r="L42" s="38"/>
      <c r="M42" s="38"/>
      <c r="N42" s="38"/>
    </row>
    <row r="43" spans="1:14" x14ac:dyDescent="0.2">
      <c r="A43" s="41" t="s">
        <v>78</v>
      </c>
      <c r="B43" s="54" t="s">
        <v>79</v>
      </c>
      <c r="C43" s="44">
        <v>36.6</v>
      </c>
      <c r="D43" s="44">
        <v>37.6</v>
      </c>
      <c r="E43" s="45">
        <v>1</v>
      </c>
      <c r="F43" s="24">
        <f t="shared" si="0"/>
        <v>133.47905411481787</v>
      </c>
      <c r="G43" s="21">
        <f t="shared" si="0"/>
        <v>68.067295084211537</v>
      </c>
      <c r="H43" s="46">
        <f t="shared" si="1"/>
        <v>26.695810822963573</v>
      </c>
      <c r="I43" s="47">
        <f t="shared" si="1"/>
        <v>13.613459016842308</v>
      </c>
      <c r="J43" s="50">
        <f t="shared" si="2"/>
        <v>1779.7207215309049</v>
      </c>
      <c r="K43" s="49">
        <f t="shared" si="2"/>
        <v>907.5639344561539</v>
      </c>
      <c r="L43" s="38"/>
      <c r="M43" s="38"/>
      <c r="N43" s="38"/>
    </row>
    <row r="44" spans="1:14" x14ac:dyDescent="0.2">
      <c r="A44" s="41" t="s">
        <v>80</v>
      </c>
      <c r="B44" s="54" t="s">
        <v>81</v>
      </c>
      <c r="C44" s="44">
        <v>37</v>
      </c>
      <c r="D44" s="44">
        <v>35.6</v>
      </c>
      <c r="E44" s="45">
        <v>1.3999999999999986</v>
      </c>
      <c r="F44" s="24">
        <f t="shared" si="0"/>
        <v>101.95846049329363</v>
      </c>
      <c r="G44" s="21">
        <f t="shared" si="0"/>
        <v>261.75063759099049</v>
      </c>
      <c r="H44" s="46">
        <f t="shared" si="1"/>
        <v>20.391692098658726</v>
      </c>
      <c r="I44" s="47">
        <f t="shared" si="1"/>
        <v>52.3501275181981</v>
      </c>
      <c r="J44" s="50">
        <f t="shared" si="2"/>
        <v>1359.4461399105817</v>
      </c>
      <c r="K44" s="49">
        <f t="shared" si="2"/>
        <v>3490.0085012132067</v>
      </c>
      <c r="L44" s="38"/>
      <c r="M44" s="38"/>
      <c r="N44" s="38"/>
    </row>
    <row r="45" spans="1:14" x14ac:dyDescent="0.2">
      <c r="A45" s="41" t="s">
        <v>82</v>
      </c>
      <c r="B45" s="53">
        <v>45609</v>
      </c>
      <c r="C45" s="44">
        <v>38.200000000000003</v>
      </c>
      <c r="D45" s="44">
        <v>37</v>
      </c>
      <c r="E45" s="45">
        <v>1.2000000000000028</v>
      </c>
      <c r="F45" s="20">
        <f t="shared" si="0"/>
        <v>45.441610609507741</v>
      </c>
      <c r="G45" s="21">
        <f t="shared" si="0"/>
        <v>101.95846049329363</v>
      </c>
      <c r="H45" s="46">
        <f t="shared" si="1"/>
        <v>9.0883221219015482</v>
      </c>
      <c r="I45" s="47">
        <f t="shared" si="1"/>
        <v>20.391692098658726</v>
      </c>
      <c r="J45" s="48">
        <f t="shared" si="2"/>
        <v>605.88814146010327</v>
      </c>
      <c r="K45" s="49">
        <f t="shared" si="2"/>
        <v>1359.4461399105817</v>
      </c>
      <c r="L45" s="38"/>
      <c r="M45" s="38"/>
      <c r="N45" s="38"/>
    </row>
    <row r="46" spans="1:14" x14ac:dyDescent="0.2">
      <c r="A46" s="41" t="s">
        <v>84</v>
      </c>
      <c r="B46" s="54" t="s">
        <v>85</v>
      </c>
      <c r="C46" s="43">
        <v>39.9</v>
      </c>
      <c r="D46" s="44">
        <v>38.700000000000003</v>
      </c>
      <c r="E46" s="45">
        <v>1.1999999999999957</v>
      </c>
      <c r="F46" s="20">
        <f t="shared" si="0"/>
        <v>14.462615776064439</v>
      </c>
      <c r="G46" s="21">
        <f t="shared" si="0"/>
        <v>32.4501270851746</v>
      </c>
      <c r="H46" s="46">
        <f t="shared" si="1"/>
        <v>2.8925231552128876</v>
      </c>
      <c r="I46" s="47">
        <f t="shared" si="1"/>
        <v>6.4900254170349196</v>
      </c>
      <c r="J46" s="48">
        <f t="shared" si="2"/>
        <v>192.83487701419253</v>
      </c>
      <c r="K46" s="49">
        <f t="shared" si="2"/>
        <v>432.66836113566137</v>
      </c>
      <c r="L46" s="38"/>
      <c r="M46" s="38"/>
      <c r="N46" s="38"/>
    </row>
    <row r="47" spans="1:14" x14ac:dyDescent="0.2">
      <c r="A47" s="41" t="s">
        <v>86</v>
      </c>
      <c r="B47" s="54" t="s">
        <v>87</v>
      </c>
      <c r="C47" s="44">
        <v>37.700000000000003</v>
      </c>
      <c r="D47" s="44">
        <v>38.4</v>
      </c>
      <c r="E47" s="45">
        <v>0.69999999999999574</v>
      </c>
      <c r="F47" s="24">
        <f t="shared" si="0"/>
        <v>63.634264647596126</v>
      </c>
      <c r="G47" s="21">
        <f t="shared" si="0"/>
        <v>39.715386223457777</v>
      </c>
      <c r="H47" s="46">
        <f t="shared" si="1"/>
        <v>12.726852929519225</v>
      </c>
      <c r="I47" s="47">
        <f t="shared" si="1"/>
        <v>7.9430772446915556</v>
      </c>
      <c r="J47" s="50">
        <f t="shared" si="2"/>
        <v>848.45686196794838</v>
      </c>
      <c r="K47" s="49">
        <f t="shared" si="2"/>
        <v>529.53848297943705</v>
      </c>
      <c r="L47" s="38"/>
      <c r="M47" s="38"/>
      <c r="N47" s="38"/>
    </row>
    <row r="48" spans="1:14" x14ac:dyDescent="0.2">
      <c r="A48" s="44" t="s">
        <v>88</v>
      </c>
      <c r="B48" s="42">
        <v>45623</v>
      </c>
      <c r="C48" s="44">
        <v>38.4</v>
      </c>
      <c r="D48" s="44">
        <v>39.1</v>
      </c>
      <c r="E48" s="45">
        <v>0.70000000000000284</v>
      </c>
      <c r="F48" s="20">
        <f t="shared" si="0"/>
        <v>39.715386223457777</v>
      </c>
      <c r="G48" s="21">
        <f t="shared" si="0"/>
        <v>24.787147484354545</v>
      </c>
      <c r="H48" s="46">
        <f t="shared" si="1"/>
        <v>7.9430772446915556</v>
      </c>
      <c r="I48" s="47">
        <f t="shared" si="1"/>
        <v>4.9574294968709092</v>
      </c>
      <c r="J48" s="48">
        <f t="shared" si="2"/>
        <v>529.53848297943705</v>
      </c>
      <c r="K48" s="49">
        <f t="shared" si="2"/>
        <v>330.49529979139396</v>
      </c>
      <c r="L48" s="38"/>
      <c r="M48" s="38"/>
      <c r="N48" s="38"/>
    </row>
    <row r="49" spans="1:14" x14ac:dyDescent="0.2">
      <c r="A49" s="41" t="s">
        <v>89</v>
      </c>
      <c r="B49" s="54" t="s">
        <v>90</v>
      </c>
      <c r="C49" s="44">
        <v>38.299999999999997</v>
      </c>
      <c r="D49" s="44">
        <v>39.299999999999997</v>
      </c>
      <c r="E49" s="45">
        <v>1</v>
      </c>
      <c r="F49" s="20">
        <f t="shared" si="0"/>
        <v>42.482127017989406</v>
      </c>
      <c r="G49" s="21">
        <f t="shared" si="0"/>
        <v>21.663649736767454</v>
      </c>
      <c r="H49" s="46">
        <f t="shared" si="1"/>
        <v>8.4964254035978808</v>
      </c>
      <c r="I49" s="47">
        <f t="shared" si="1"/>
        <v>4.3327299473534904</v>
      </c>
      <c r="J49" s="48">
        <f t="shared" si="2"/>
        <v>566.42836023985876</v>
      </c>
      <c r="K49" s="49">
        <f t="shared" si="2"/>
        <v>288.84866315689942</v>
      </c>
      <c r="L49" s="38"/>
      <c r="M49" s="38"/>
      <c r="N49" s="38"/>
    </row>
    <row r="50" spans="1:14" x14ac:dyDescent="0.2">
      <c r="A50" s="41" t="s">
        <v>91</v>
      </c>
      <c r="B50" s="54" t="s">
        <v>92</v>
      </c>
      <c r="C50" s="44">
        <v>37.6</v>
      </c>
      <c r="D50" s="44">
        <v>37.299999999999997</v>
      </c>
      <c r="E50" s="45">
        <v>0.30000000000000426</v>
      </c>
      <c r="F50" s="24">
        <f t="shared" si="0"/>
        <v>68.067295084211537</v>
      </c>
      <c r="G50" s="21">
        <f t="shared" si="0"/>
        <v>83.306882169055982</v>
      </c>
      <c r="H50" s="46">
        <f t="shared" si="1"/>
        <v>13.613459016842308</v>
      </c>
      <c r="I50" s="47">
        <f t="shared" si="1"/>
        <v>16.661376433811196</v>
      </c>
      <c r="J50" s="50">
        <f t="shared" si="2"/>
        <v>907.5639344561539</v>
      </c>
      <c r="K50" s="49">
        <f t="shared" si="2"/>
        <v>1110.7584289207464</v>
      </c>
      <c r="L50" s="38"/>
      <c r="M50" s="38"/>
      <c r="N50" s="38"/>
    </row>
    <row r="51" spans="1:14" x14ac:dyDescent="0.2">
      <c r="A51" s="41" t="s">
        <v>93</v>
      </c>
      <c r="B51" s="54" t="s">
        <v>94</v>
      </c>
      <c r="C51" s="44">
        <v>37.4</v>
      </c>
      <c r="D51" s="44">
        <v>38.1</v>
      </c>
      <c r="E51" s="45">
        <v>0.70000000000000284</v>
      </c>
      <c r="F51" s="24">
        <f t="shared" si="0"/>
        <v>77.881340522688731</v>
      </c>
      <c r="G51" s="21">
        <f t="shared" si="0"/>
        <v>48.607264271671731</v>
      </c>
      <c r="H51" s="46">
        <f t="shared" si="1"/>
        <v>15.576268104537746</v>
      </c>
      <c r="I51" s="47">
        <f t="shared" si="1"/>
        <v>9.7214528543343466</v>
      </c>
      <c r="J51" s="50">
        <f t="shared" si="2"/>
        <v>1038.4178736358499</v>
      </c>
      <c r="K51" s="49">
        <f t="shared" si="2"/>
        <v>648.09685695562314</v>
      </c>
      <c r="L51" s="38"/>
      <c r="M51" s="38"/>
      <c r="N51" s="38"/>
    </row>
    <row r="52" spans="1:14" x14ac:dyDescent="0.2">
      <c r="A52" s="41" t="s">
        <v>95</v>
      </c>
      <c r="B52" s="53">
        <v>45637</v>
      </c>
      <c r="C52" s="44">
        <v>37.6</v>
      </c>
      <c r="D52" s="44">
        <v>39.299999999999997</v>
      </c>
      <c r="E52" s="45">
        <v>1.6999999999999957</v>
      </c>
      <c r="F52" s="24">
        <f t="shared" si="0"/>
        <v>68.067295084211537</v>
      </c>
      <c r="G52" s="21">
        <f t="shared" si="0"/>
        <v>21.663649736767454</v>
      </c>
      <c r="H52" s="46">
        <f t="shared" si="1"/>
        <v>13.613459016842308</v>
      </c>
      <c r="I52" s="47">
        <f t="shared" si="1"/>
        <v>4.3327299473534904</v>
      </c>
      <c r="J52" s="50">
        <f t="shared" si="2"/>
        <v>907.5639344561539</v>
      </c>
      <c r="K52" s="49">
        <f t="shared" si="2"/>
        <v>288.84866315689942</v>
      </c>
      <c r="L52" s="38"/>
      <c r="M52" s="38"/>
      <c r="N52" s="38"/>
    </row>
    <row r="53" spans="1:14" x14ac:dyDescent="0.2">
      <c r="A53" s="41" t="s">
        <v>96</v>
      </c>
      <c r="B53" s="54" t="s">
        <v>97</v>
      </c>
      <c r="C53" s="44">
        <v>38.299999999999997</v>
      </c>
      <c r="D53" s="44">
        <v>38.5</v>
      </c>
      <c r="E53" s="45">
        <v>0.20000000000000284</v>
      </c>
      <c r="F53" s="20">
        <f t="shared" si="0"/>
        <v>42.482127017989406</v>
      </c>
      <c r="G53" s="21">
        <f t="shared" si="0"/>
        <v>37.128835432616064</v>
      </c>
      <c r="H53" s="46">
        <f t="shared" si="1"/>
        <v>8.4964254035978808</v>
      </c>
      <c r="I53" s="47">
        <f t="shared" si="1"/>
        <v>7.425767086523213</v>
      </c>
      <c r="J53" s="48">
        <f t="shared" si="2"/>
        <v>566.42836023985876</v>
      </c>
      <c r="K53" s="49">
        <f t="shared" si="2"/>
        <v>495.05113910154756</v>
      </c>
      <c r="L53" s="38"/>
      <c r="M53" s="38"/>
      <c r="N53" s="38"/>
    </row>
    <row r="54" spans="1:14" x14ac:dyDescent="0.2">
      <c r="A54" s="41" t="s">
        <v>100</v>
      </c>
      <c r="B54" s="54" t="s">
        <v>101</v>
      </c>
      <c r="C54" s="44">
        <v>38.799999999999997</v>
      </c>
      <c r="D54" s="44">
        <v>36.700000000000003</v>
      </c>
      <c r="E54" s="45">
        <v>2.0999999999999943</v>
      </c>
      <c r="F54" s="20">
        <f t="shared" si="0"/>
        <v>30.336742076079755</v>
      </c>
      <c r="G54" s="21">
        <f t="shared" si="0"/>
        <v>124.78594079498397</v>
      </c>
      <c r="H54" s="46">
        <f t="shared" si="1"/>
        <v>6.0673484152159514</v>
      </c>
      <c r="I54" s="47">
        <f t="shared" si="1"/>
        <v>24.957188158996793</v>
      </c>
      <c r="J54" s="48">
        <f t="shared" si="2"/>
        <v>404.48989434773011</v>
      </c>
      <c r="K54" s="49">
        <f t="shared" si="2"/>
        <v>1663.8125439331195</v>
      </c>
      <c r="L54" s="38"/>
      <c r="M54" s="38"/>
      <c r="N54" s="38"/>
    </row>
    <row r="55" spans="1:14" x14ac:dyDescent="0.2">
      <c r="A55" s="44" t="s">
        <v>102</v>
      </c>
      <c r="B55" s="42">
        <v>45651</v>
      </c>
      <c r="C55" s="44">
        <v>38.1</v>
      </c>
      <c r="D55" s="44">
        <v>39.4</v>
      </c>
      <c r="E55" s="45">
        <v>1.2999999999999972</v>
      </c>
      <c r="F55" s="24">
        <f t="shared" si="0"/>
        <v>48.607264271671731</v>
      </c>
      <c r="G55" s="21">
        <f t="shared" si="0"/>
        <v>20.252757493547673</v>
      </c>
      <c r="H55" s="46">
        <f t="shared" si="1"/>
        <v>9.7214528543343466</v>
      </c>
      <c r="I55" s="47">
        <f t="shared" si="1"/>
        <v>4.0505514987095346</v>
      </c>
      <c r="J55" s="50">
        <f t="shared" si="2"/>
        <v>648.09685695562314</v>
      </c>
      <c r="K55" s="49">
        <f t="shared" si="2"/>
        <v>270.03676658063563</v>
      </c>
      <c r="L55" s="38"/>
      <c r="M55" s="38"/>
      <c r="N55" s="38"/>
    </row>
    <row r="56" spans="1:14" x14ac:dyDescent="0.2">
      <c r="A56" s="41" t="s">
        <v>103</v>
      </c>
      <c r="B56" s="54" t="s">
        <v>104</v>
      </c>
      <c r="C56" s="44">
        <v>37.4</v>
      </c>
      <c r="D56" s="44">
        <v>37.200000000000003</v>
      </c>
      <c r="E56" s="45">
        <v>0.19999999999999574</v>
      </c>
      <c r="F56" s="24">
        <f t="shared" si="0"/>
        <v>77.881340522688731</v>
      </c>
      <c r="G56" s="21">
        <f t="shared" si="0"/>
        <v>89.110389859136362</v>
      </c>
      <c r="H56" s="46">
        <f t="shared" si="1"/>
        <v>15.576268104537746</v>
      </c>
      <c r="I56" s="47">
        <f t="shared" si="1"/>
        <v>17.822077971827273</v>
      </c>
      <c r="J56" s="50">
        <f t="shared" si="2"/>
        <v>1038.4178736358499</v>
      </c>
      <c r="K56" s="49">
        <f t="shared" si="2"/>
        <v>1188.1385314551515</v>
      </c>
      <c r="L56" s="38"/>
      <c r="M56" s="38"/>
      <c r="N56" s="38"/>
    </row>
    <row r="57" spans="1:14" x14ac:dyDescent="0.2">
      <c r="A57" s="41" t="s">
        <v>125</v>
      </c>
      <c r="B57" s="54" t="s">
        <v>126</v>
      </c>
      <c r="C57" s="44">
        <v>34.9</v>
      </c>
      <c r="D57" s="44">
        <v>34.700000000000003</v>
      </c>
      <c r="E57" s="45">
        <v>0.19999999999999574</v>
      </c>
      <c r="F57" s="24">
        <f t="shared" si="0"/>
        <v>419.39185106814284</v>
      </c>
      <c r="G57" s="21">
        <f t="shared" si="0"/>
        <v>479.86040175489364</v>
      </c>
      <c r="H57" s="46">
        <f t="shared" si="1"/>
        <v>83.878370213628571</v>
      </c>
      <c r="I57" s="47">
        <f t="shared" si="1"/>
        <v>95.972080350978729</v>
      </c>
      <c r="J57" s="50">
        <f t="shared" si="2"/>
        <v>5591.8913475752379</v>
      </c>
      <c r="K57" s="49">
        <f t="shared" si="2"/>
        <v>6398.1386900652487</v>
      </c>
      <c r="L57" s="38"/>
      <c r="M57" s="38"/>
      <c r="N57" s="38"/>
    </row>
    <row r="58" spans="1:14" x14ac:dyDescent="0.2">
      <c r="A58" s="41" t="s">
        <v>105</v>
      </c>
      <c r="B58" s="53">
        <v>45665</v>
      </c>
      <c r="C58" s="44">
        <v>37.4</v>
      </c>
      <c r="D58" s="44">
        <v>37.4</v>
      </c>
      <c r="E58" s="45">
        <v>0</v>
      </c>
      <c r="F58" s="24">
        <f t="shared" si="0"/>
        <v>77.881340522688731</v>
      </c>
      <c r="G58" s="21">
        <f t="shared" si="0"/>
        <v>77.881340522688731</v>
      </c>
      <c r="H58" s="46">
        <f t="shared" si="1"/>
        <v>15.576268104537746</v>
      </c>
      <c r="I58" s="47">
        <f t="shared" si="1"/>
        <v>15.576268104537746</v>
      </c>
      <c r="J58" s="50">
        <f t="shared" si="2"/>
        <v>1038.4178736358499</v>
      </c>
      <c r="K58" s="49">
        <f t="shared" si="2"/>
        <v>1038.4178736358499</v>
      </c>
      <c r="L58" s="38"/>
      <c r="M58" s="38"/>
      <c r="N58" s="38"/>
    </row>
    <row r="59" spans="1:14" x14ac:dyDescent="0.2">
      <c r="A59" s="41" t="s">
        <v>106</v>
      </c>
      <c r="B59" s="53">
        <v>45669</v>
      </c>
      <c r="C59" s="43">
        <v>40.5</v>
      </c>
      <c r="D59" s="44">
        <v>40.1</v>
      </c>
      <c r="E59" s="45">
        <v>0.39999999999999858</v>
      </c>
      <c r="F59" s="20">
        <f t="shared" si="0"/>
        <v>9.6552177323597643</v>
      </c>
      <c r="G59" s="21">
        <f t="shared" si="0"/>
        <v>12.640141131522553</v>
      </c>
      <c r="H59" s="46">
        <f t="shared" si="1"/>
        <v>1.9310435464719529</v>
      </c>
      <c r="I59" s="47">
        <f t="shared" si="1"/>
        <v>2.5280282263045106</v>
      </c>
      <c r="J59" s="48">
        <f t="shared" si="2"/>
        <v>128.73623643146354</v>
      </c>
      <c r="K59" s="49">
        <f t="shared" si="2"/>
        <v>168.53521508696738</v>
      </c>
      <c r="L59" s="38"/>
      <c r="M59" s="38"/>
      <c r="N59" s="38"/>
    </row>
    <row r="60" spans="1:14" x14ac:dyDescent="0.2">
      <c r="A60" s="41" t="s">
        <v>107</v>
      </c>
      <c r="B60" s="54" t="s">
        <v>108</v>
      </c>
      <c r="C60" s="44">
        <v>37.1</v>
      </c>
      <c r="D60" s="44">
        <v>35.700000000000003</v>
      </c>
      <c r="E60" s="45">
        <v>1.3999999999999986</v>
      </c>
      <c r="F60" s="24">
        <f t="shared" si="0"/>
        <v>95.318194296759245</v>
      </c>
      <c r="G60" s="21">
        <f t="shared" si="0"/>
        <v>244.70355878745067</v>
      </c>
      <c r="H60" s="46">
        <f t="shared" si="1"/>
        <v>19.063638859351848</v>
      </c>
      <c r="I60" s="47">
        <f t="shared" si="1"/>
        <v>48.940711757490135</v>
      </c>
      <c r="J60" s="50">
        <f t="shared" si="2"/>
        <v>1270.9092572901232</v>
      </c>
      <c r="K60" s="49">
        <f t="shared" si="2"/>
        <v>3262.7141171660091</v>
      </c>
      <c r="L60" s="38"/>
      <c r="M60" s="38"/>
      <c r="N60" s="38"/>
    </row>
    <row r="61" spans="1:14" x14ac:dyDescent="0.2">
      <c r="A61" s="41" t="s">
        <v>109</v>
      </c>
      <c r="B61" s="53">
        <v>45676</v>
      </c>
      <c r="C61" s="43">
        <v>39.6</v>
      </c>
      <c r="D61" s="44">
        <v>37.5</v>
      </c>
      <c r="E61" s="45">
        <v>2.1000000000000014</v>
      </c>
      <c r="F61" s="20">
        <f t="shared" si="0"/>
        <v>17.700650904701376</v>
      </c>
      <c r="G61" s="21">
        <f t="shared" si="0"/>
        <v>72.809149060484216</v>
      </c>
      <c r="H61" s="46">
        <f t="shared" si="1"/>
        <v>3.5401301809402752</v>
      </c>
      <c r="I61" s="47">
        <f t="shared" si="1"/>
        <v>14.561829812096843</v>
      </c>
      <c r="J61" s="48">
        <f t="shared" si="2"/>
        <v>236.00867872935169</v>
      </c>
      <c r="K61" s="49">
        <f t="shared" si="2"/>
        <v>970.78865413978963</v>
      </c>
      <c r="L61" s="38"/>
      <c r="M61" s="38"/>
      <c r="N61" s="38"/>
    </row>
    <row r="62" spans="1:14" x14ac:dyDescent="0.2">
      <c r="A62" s="41" t="s">
        <v>110</v>
      </c>
      <c r="B62" s="53">
        <v>45679</v>
      </c>
      <c r="C62" s="44">
        <v>38.5</v>
      </c>
      <c r="D62" s="44">
        <v>37</v>
      </c>
      <c r="E62" s="45">
        <v>1.5</v>
      </c>
      <c r="F62" s="20">
        <f t="shared" si="0"/>
        <v>37.128835432616064</v>
      </c>
      <c r="G62" s="21">
        <f t="shared" si="0"/>
        <v>101.95846049329363</v>
      </c>
      <c r="H62" s="46">
        <f t="shared" si="1"/>
        <v>7.425767086523213</v>
      </c>
      <c r="I62" s="47">
        <f t="shared" si="1"/>
        <v>20.391692098658726</v>
      </c>
      <c r="J62" s="48">
        <f t="shared" si="2"/>
        <v>495.05113910154756</v>
      </c>
      <c r="K62" s="49">
        <f t="shared" si="2"/>
        <v>1359.4461399105817</v>
      </c>
      <c r="L62" s="38"/>
      <c r="M62" s="38"/>
      <c r="N62" s="38"/>
    </row>
    <row r="63" spans="1:14" ht="17" thickBot="1" x14ac:dyDescent="0.25">
      <c r="A63" s="41" t="s">
        <v>111</v>
      </c>
      <c r="B63" s="54" t="s">
        <v>112</v>
      </c>
      <c r="C63" s="43">
        <v>40</v>
      </c>
      <c r="D63" s="44">
        <v>37.299999999999997</v>
      </c>
      <c r="E63" s="45">
        <v>2.7000000000000028</v>
      </c>
      <c r="F63" s="56">
        <f t="shared" si="0"/>
        <v>13.520706510402441</v>
      </c>
      <c r="G63" s="35">
        <f t="shared" si="0"/>
        <v>83.306882169055982</v>
      </c>
      <c r="H63" s="57">
        <f t="shared" si="1"/>
        <v>2.7041413020804881</v>
      </c>
      <c r="I63" s="58">
        <f t="shared" si="1"/>
        <v>16.661376433811196</v>
      </c>
      <c r="J63" s="59">
        <f t="shared" si="2"/>
        <v>180.27608680536588</v>
      </c>
      <c r="K63" s="60">
        <f t="shared" si="2"/>
        <v>1110.7584289207464</v>
      </c>
      <c r="L63" s="38"/>
      <c r="M63" s="38"/>
      <c r="N63" s="38"/>
    </row>
  </sheetData>
  <mergeCells count="2"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HPV 66</vt:lpstr>
      <vt:lpstr>HPV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Michon</dc:creator>
  <cp:lastModifiedBy>Pauline Michon</cp:lastModifiedBy>
  <dcterms:created xsi:type="dcterms:W3CDTF">2025-09-22T07:31:23Z</dcterms:created>
  <dcterms:modified xsi:type="dcterms:W3CDTF">2025-09-22T07:33:06Z</dcterms:modified>
</cp:coreProperties>
</file>