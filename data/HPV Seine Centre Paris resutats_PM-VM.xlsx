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paulinemichon/Documents/Pauline Travail/Projet Papillomavirus/Resultats/Paris/"/>
    </mc:Choice>
  </mc:AlternateContent>
  <xr:revisionPtr revIDLastSave="0" documentId="13_ncr:1_{4CF58C51-6326-334E-8745-68FE6A999ED3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Haute fréquence" sheetId="1" r:id="rId1"/>
    <sheet name="Ct par type HPV (réplicat 1)" sheetId="2" r:id="rId2"/>
    <sheet name="Ct par type HPV (réplicat 2)" sheetId="9" r:id="rId3"/>
    <sheet name="HPV 66" sheetId="3" r:id="rId4"/>
    <sheet name="HPV 53" sheetId="5" r:id="rId5"/>
    <sheet name="HPV 6" sheetId="21" r:id="rId6"/>
    <sheet name="HPV 39" sheetId="10" r:id="rId7"/>
    <sheet name="HPV 73" sheetId="18" r:id="rId8"/>
    <sheet name="HPV 42" sheetId="19" r:id="rId9"/>
    <sheet name="HPV 56" sheetId="14" r:id="rId10"/>
    <sheet name="HPV 43" sheetId="20" r:id="rId11"/>
    <sheet name="HPV 59" sheetId="6" r:id="rId12"/>
    <sheet name="HPV 44" sheetId="24" r:id="rId13"/>
    <sheet name="HPV 16" sheetId="7" r:id="rId14"/>
    <sheet name="HPV 68" sheetId="15" r:id="rId15"/>
    <sheet name="Autres HPV" sheetId="17" r:id="rId16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I3" i="1"/>
  <c r="K3" i="1"/>
  <c r="J3" i="1" l="1"/>
  <c r="L3" i="1"/>
  <c r="K84" i="1" l="1"/>
  <c r="L84" i="1" s="1"/>
  <c r="H3" i="1" l="1"/>
  <c r="K4" i="1" l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I13" i="1" l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5" i="1"/>
  <c r="J5" i="1" s="1"/>
  <c r="I4" i="1"/>
  <c r="J4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</calcChain>
</file>

<file path=xl/sharedStrings.xml><?xml version="1.0" encoding="utf-8"?>
<sst xmlns="http://schemas.openxmlformats.org/spreadsheetml/2006/main" count="5508" uniqueCount="208">
  <si>
    <t>Ct</t>
  </si>
  <si>
    <t>Date</t>
  </si>
  <si>
    <t>HPV</t>
  </si>
  <si>
    <t>Crassphage</t>
  </si>
  <si>
    <t>mtDNA</t>
  </si>
  <si>
    <t>Fr-Paris SC-03_03_2024</t>
  </si>
  <si>
    <t>Fr-Paris SC-06_03_2024</t>
  </si>
  <si>
    <t>Fr-Paris SC-10_03_2024</t>
  </si>
  <si>
    <t>Fr-Paris SC-17_03_2024</t>
  </si>
  <si>
    <t>Fr-Paris SC-24_03_2024</t>
  </si>
  <si>
    <t>Fr-Paris SC-27_03_2024</t>
  </si>
  <si>
    <t>Fr-Paris SC-31_03_2024</t>
  </si>
  <si>
    <t>Fr-Paris SC-03_04_2024</t>
  </si>
  <si>
    <t>Fr-Paris SC-07_04_2024</t>
  </si>
  <si>
    <t>Fr-Paris SC-10_04_2024</t>
  </si>
  <si>
    <t>Fr-Paris SC-14_04_2024</t>
  </si>
  <si>
    <t>Fr-Paris SC-17_04_2024</t>
  </si>
  <si>
    <t>Fr-Paris SC-21_04_2024</t>
  </si>
  <si>
    <t>Fr-Paris SC-28_04_2024</t>
  </si>
  <si>
    <t>Fr-Paris SC-01_05_2024</t>
  </si>
  <si>
    <t>Fr-Paris SC-05_05_2024</t>
  </si>
  <si>
    <t>Fr-Paris SC-19_06_2024</t>
  </si>
  <si>
    <t>Fr-Paris SC-23_06_2024</t>
  </si>
  <si>
    <t>Fr-Paris SC-30_06_2024</t>
  </si>
  <si>
    <t>Fr-Paris SC-03_07_2024</t>
  </si>
  <si>
    <t>03/07/2024</t>
  </si>
  <si>
    <t>Fr-Paris SC-07_07_2024</t>
  </si>
  <si>
    <t>Fr-Paris SC-10_07_2024</t>
  </si>
  <si>
    <t>Fr-Paris SC-11_07_2024</t>
  </si>
  <si>
    <t>Fr-Paris SC-17_07_2024</t>
  </si>
  <si>
    <t>Fr-Paris SC-21_07_2024</t>
  </si>
  <si>
    <t>Fr-Paris SC-28_07_2024</t>
  </si>
  <si>
    <t>Fr-Paris SC-04_08_2024</t>
  </si>
  <si>
    <t>Fr-Paris SC-07_08_2024</t>
  </si>
  <si>
    <t>Fr-Paris SC-10_08_2024</t>
  </si>
  <si>
    <t>10/08/2024</t>
  </si>
  <si>
    <t>Fr-Paris SC-11_08_2024</t>
  </si>
  <si>
    <t>Fr-Paris SC-14_08_2024</t>
  </si>
  <si>
    <t>14/08/2024</t>
  </si>
  <si>
    <t>Fr-Paris SC-21_08_2024</t>
  </si>
  <si>
    <t>Fr-Paris SC-25_08_2024</t>
  </si>
  <si>
    <t>25/08/2024</t>
  </si>
  <si>
    <t>Fr-Paris SC-01_09_2024</t>
  </si>
  <si>
    <t>01/09/2024</t>
  </si>
  <si>
    <t>Fr-Paris SC-04_09_2024</t>
  </si>
  <si>
    <t>04/09/2024</t>
  </si>
  <si>
    <t>Fr-Paris SC-08_09_2024</t>
  </si>
  <si>
    <t>Fr-Paris SC-11_09_2024</t>
  </si>
  <si>
    <t>Fr-Paris SC-15_09_2024</t>
  </si>
  <si>
    <t>Fr-Paris SC-18_09_2024</t>
  </si>
  <si>
    <t>18/09/2024</t>
  </si>
  <si>
    <t>Fr-Paris SC-22_09_2024</t>
  </si>
  <si>
    <t>Fr-Paris SC-29_09_2024</t>
  </si>
  <si>
    <t>Fr-Paris SC-02_10_2024</t>
  </si>
  <si>
    <t>Fr-Paris SC-06_10_2024</t>
  </si>
  <si>
    <t>Fr-Paris SC-09_10_2024</t>
  </si>
  <si>
    <t>Fr-Paris SC-13_10_2024</t>
  </si>
  <si>
    <t>Fr-Paris SC-16_10_2024</t>
  </si>
  <si>
    <t>16/10/2024</t>
  </si>
  <si>
    <t>Fr-Paris SC-20_10_2024</t>
  </si>
  <si>
    <t>Fr-Paris SC-23_10_2024</t>
  </si>
  <si>
    <t>Fr-Paris SC-27_10_2024</t>
  </si>
  <si>
    <t>Fr-Paris SC-03_11_2024</t>
  </si>
  <si>
    <t>03/11/2024</t>
  </si>
  <si>
    <t>Fr-Paris SC-06_11_2024</t>
  </si>
  <si>
    <t>06/11/2024</t>
  </si>
  <si>
    <t>Fr-Paris SC-10_11_2024</t>
  </si>
  <si>
    <t>10/11/2024</t>
  </si>
  <si>
    <t>Fr-Paris SC-13_11_2024</t>
  </si>
  <si>
    <t>Fr-Paris SC-17_11_2024</t>
  </si>
  <si>
    <t>Fr-Paris SC-20_11_2024</t>
  </si>
  <si>
    <t>20/11/2024</t>
  </si>
  <si>
    <t>Fr-Paris SC-24_11_2024</t>
  </si>
  <si>
    <t>24/11/2024</t>
  </si>
  <si>
    <t>Fr-Paris SC-01_12_2024</t>
  </si>
  <si>
    <t>01/12/2024</t>
  </si>
  <si>
    <t>Fr-Paris SC-04_12_2024</t>
  </si>
  <si>
    <t>04/12/2024</t>
  </si>
  <si>
    <t>Fr-Paris SC-08_12_2024</t>
  </si>
  <si>
    <t>08/12/2024</t>
  </si>
  <si>
    <t>Fr-Paris SC-11_12_2024</t>
  </si>
  <si>
    <t>Fr-Paris SC-15_12_2024</t>
  </si>
  <si>
    <t>15/12/2024</t>
  </si>
  <si>
    <t>Fr-Paris SC-18_12_2024</t>
  </si>
  <si>
    <t>18/12/2024</t>
  </si>
  <si>
    <t>Fr-Paris SC-22_12_2024</t>
  </si>
  <si>
    <t>22/12/2024</t>
  </si>
  <si>
    <t>Fr-Paris SC-29_12_2024</t>
  </si>
  <si>
    <t>29/12/2024</t>
  </si>
  <si>
    <t>Fr-Paris SC-01_01_2025</t>
  </si>
  <si>
    <t>01/01/2025</t>
  </si>
  <si>
    <t>Fr-Paris SC-05_01_2025</t>
  </si>
  <si>
    <t>05/01/2025</t>
  </si>
  <si>
    <t>Fr-Paris SC-08_01_2025</t>
  </si>
  <si>
    <t>Fr-Paris SC-12_01_2025</t>
  </si>
  <si>
    <t>Fr-Paris SC-15_01_2025</t>
  </si>
  <si>
    <t>15/01/2025</t>
  </si>
  <si>
    <t>Fr-Paris SC-19_01_2025</t>
  </si>
  <si>
    <t>Fr-Paris SC-22_01_2025</t>
  </si>
  <si>
    <t>Fr-Paris SC-26_01_2025</t>
  </si>
  <si>
    <t>26/01/2025</t>
  </si>
  <si>
    <t>% Inhibition</t>
  </si>
  <si>
    <t>Numéro</t>
  </si>
  <si>
    <t>Echantillon</t>
  </si>
  <si>
    <t>NA</t>
  </si>
  <si>
    <t>HPV 6</t>
  </si>
  <si>
    <t>HPV 11</t>
  </si>
  <si>
    <t>HPV 16</t>
  </si>
  <si>
    <t>HPV 18</t>
  </si>
  <si>
    <t>HPV 26</t>
  </si>
  <si>
    <t>HPV 31</t>
  </si>
  <si>
    <t>HPV 33</t>
  </si>
  <si>
    <t>HPV 35</t>
  </si>
  <si>
    <t>HPV 39</t>
  </si>
  <si>
    <t>HPV 40</t>
  </si>
  <si>
    <t>HPV 42</t>
  </si>
  <si>
    <t>HPV 43</t>
  </si>
  <si>
    <t>HPV 44</t>
  </si>
  <si>
    <t>HPV 45</t>
  </si>
  <si>
    <t>HPV 51</t>
  </si>
  <si>
    <t>HPV 52</t>
  </si>
  <si>
    <t>HPV 53</t>
  </si>
  <si>
    <t>HPV 54</t>
  </si>
  <si>
    <t>HPV 56</t>
  </si>
  <si>
    <t>HPV 58</t>
  </si>
  <si>
    <t>HPV 59</t>
  </si>
  <si>
    <t>HPV 61</t>
  </si>
  <si>
    <t>HPV 66</t>
  </si>
  <si>
    <t>HPV 68</t>
  </si>
  <si>
    <t>HPV 69</t>
  </si>
  <si>
    <t>HPV 70</t>
  </si>
  <si>
    <t>HPV 73</t>
  </si>
  <si>
    <t>HPV 82</t>
  </si>
  <si>
    <t>Fr-Paris SC-20_03_2024</t>
  </si>
  <si>
    <t>Fr-Paris SC-28_02_2024</t>
  </si>
  <si>
    <t>Fr-Paris SC-25_02_2024</t>
  </si>
  <si>
    <t>Fr-Paris SC-21_02_2024</t>
  </si>
  <si>
    <t>Fr-Paris SC-18_02_2024</t>
  </si>
  <si>
    <t>Fr-Paris SC-11_02_2024</t>
  </si>
  <si>
    <t>Fr-Paris SC-07_02_2024</t>
  </si>
  <si>
    <t>Fr-Paris SC-04_02_2024</t>
  </si>
  <si>
    <t>Fr-Paris SC-31_01_2024</t>
  </si>
  <si>
    <t>Fr-Paris SC-28_01_2024</t>
  </si>
  <si>
    <t>Fr-Paris SC-24_01_2024</t>
  </si>
  <si>
    <t>Fr-Paris SC-24_04_2024</t>
  </si>
  <si>
    <t>Fr-Paris SC-15_05_2024</t>
  </si>
  <si>
    <t>Fr-Paris SC-19_05_2024</t>
  </si>
  <si>
    <t>Fr-Paris SC-22_05_2024</t>
  </si>
  <si>
    <t>Fr-Paris SC-26_05_2024</t>
  </si>
  <si>
    <t>Fr-Paris SC-29_05_2024</t>
  </si>
  <si>
    <t>Fr-Paris SC-05_06_2024</t>
  </si>
  <si>
    <t>Fr-Paris SC-09_06_2024</t>
  </si>
  <si>
    <t>Fr-Paris SC-12_06_2024</t>
  </si>
  <si>
    <t>Fr-Paris SC-16_06_2024</t>
  </si>
  <si>
    <t>Fr-Paris SC-26_06_2024</t>
  </si>
  <si>
    <t>Fr-Paris SC-24_07_2024</t>
  </si>
  <si>
    <t>Fr-Paris SC-25_09_2024</t>
  </si>
  <si>
    <t>Fr-Paris SC-30_10_2024</t>
  </si>
  <si>
    <t>Fr-Paris SC-27_11_2024</t>
  </si>
  <si>
    <t>Fr-Paris SC-25_12_2024</t>
  </si>
  <si>
    <t>Fr-Paris SC-29_01_2025</t>
  </si>
  <si>
    <t>HPV 66 (réplicat 1)</t>
  </si>
  <si>
    <t>HPV 66 (réplicat 2)</t>
  </si>
  <si>
    <r>
      <rPr>
        <b/>
        <sz val="9"/>
        <color theme="1"/>
        <rFont val="Symbol"/>
        <family val="1"/>
        <charset val="2"/>
      </rPr>
      <t>D</t>
    </r>
    <r>
      <rPr>
        <b/>
        <sz val="9"/>
        <color theme="1"/>
        <rFont val="Times New Roman"/>
        <family val="1"/>
      </rPr>
      <t>Ct</t>
    </r>
  </si>
  <si>
    <t>45 (réplicat 1)</t>
  </si>
  <si>
    <t>45 (réplicat 2)</t>
  </si>
  <si>
    <t>53 (réplicat 1)</t>
  </si>
  <si>
    <t>53 (réplicat 2)</t>
  </si>
  <si>
    <t>59 (réplicat 1)</t>
  </si>
  <si>
    <t>59 (réplicat 2)</t>
  </si>
  <si>
    <t>16 (réplicat 1)</t>
  </si>
  <si>
    <t>16 (réplicat 2)</t>
  </si>
  <si>
    <t xml:space="preserve"> NA</t>
  </si>
  <si>
    <t>66,16,73,53,6</t>
  </si>
  <si>
    <t xml:space="preserve">NA </t>
  </si>
  <si>
    <t>33 (réplicat 1)</t>
  </si>
  <si>
    <t>33 (réplicat 2)</t>
  </si>
  <si>
    <t>39 (réplicat 1)</t>
  </si>
  <si>
    <t>39 (réplicat 2)</t>
  </si>
  <si>
    <t>35 (réplicat 1)</t>
  </si>
  <si>
    <t>35 (réplicat  2)</t>
  </si>
  <si>
    <t>18 (réplicat 1)</t>
  </si>
  <si>
    <t>56 (réplicat 1)</t>
  </si>
  <si>
    <t>26 (réplicat 1)</t>
  </si>
  <si>
    <t>18 (réplicat  2)</t>
  </si>
  <si>
    <t>56 (réplicat  2)</t>
  </si>
  <si>
    <t>68 (réplicat 1)</t>
  </si>
  <si>
    <t>68 (réplicat  2)</t>
  </si>
  <si>
    <t>31(réplicat 1)</t>
  </si>
  <si>
    <t>31 (réplicat  2)</t>
  </si>
  <si>
    <t>26  (réplicat  2)</t>
  </si>
  <si>
    <t>73 (réplicat 1)</t>
  </si>
  <si>
    <t>73 (réplicat 2)</t>
  </si>
  <si>
    <t>42 (réplicat 1)</t>
  </si>
  <si>
    <t>42 (réplicat 2)</t>
  </si>
  <si>
    <t>43 (réplicat 1)</t>
  </si>
  <si>
    <t>43 (réplicat 2)</t>
  </si>
  <si>
    <t>6 (réplicat 1)</t>
  </si>
  <si>
    <t>6 (réplicat 2)</t>
  </si>
  <si>
    <t>44 (réplicat 1)</t>
  </si>
  <si>
    <t>44 (réplicat 2)</t>
  </si>
  <si>
    <t>11 (réplicat 1)</t>
  </si>
  <si>
    <t>11 (réplicat 2)</t>
  </si>
  <si>
    <t>cp/µL</t>
  </si>
  <si>
    <t>cp/L</t>
  </si>
  <si>
    <t>Quantification Crassphage</t>
  </si>
  <si>
    <t>Quantification mtDNA</t>
  </si>
  <si>
    <t>Quantification HPV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</si>
</sst>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;\-###0.00"/>
    <numFmt numFmtId="165" formatCode="[$-F800]dddd\,\ mmmm\ dd\,\ yyyy"/>
    <numFmt numFmtId="166" formatCode="0.0%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sz val="9"/>
      <color theme="1"/>
      <name val="Times New Roman"/>
      <family val="1"/>
    </font>
    <font>
      <sz val="10"/>
      <name val="Times New Roman"/>
      <family val="1"/>
    </font>
    <font>
      <b/>
      <sz val="9"/>
      <color theme="1"/>
      <name val="Symbol"/>
      <family val="1"/>
      <charset val="2"/>
    </font>
    <font>
      <sz val="9"/>
      <name val="Times New Roman"/>
      <family val="1"/>
    </font>
    <font>
      <sz val="9"/>
      <color rgb="FFFF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/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14" fontId="3" fillId="0" borderId="1" xfId="0" applyNumberFormat="1" applyFont="1" applyBorder="1"/>
    <xf numFmtId="0" fontId="3" fillId="0" borderId="1" xfId="0" applyFont="1" applyBorder="1"/>
    <xf numFmtId="0" fontId="3" fillId="4" borderId="1" xfId="0" applyFont="1" applyFill="1" applyBorder="1" applyAlignment="1">
      <alignment horizontal="right"/>
    </xf>
    <xf numFmtId="0" fontId="3" fillId="4" borderId="1" xfId="0" applyFont="1" applyFill="1" applyBorder="1"/>
    <xf numFmtId="0" fontId="3" fillId="3" borderId="1" xfId="0" applyFont="1" applyFill="1" applyBorder="1"/>
    <xf numFmtId="0" fontId="3" fillId="0" borderId="0" xfId="0" applyFont="1"/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164" fontId="2" fillId="2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left"/>
    </xf>
    <xf numFmtId="164" fontId="7" fillId="0" borderId="1" xfId="0" applyNumberFormat="1" applyFont="1" applyBorder="1" applyAlignment="1">
      <alignment vertical="center"/>
    </xf>
    <xf numFmtId="164" fontId="7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49" fontId="7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vertical="center"/>
    </xf>
    <xf numFmtId="49" fontId="7" fillId="0" borderId="1" xfId="0" applyNumberFormat="1" applyFont="1" applyBorder="1" applyAlignment="1">
      <alignment vertical="center"/>
    </xf>
    <xf numFmtId="0" fontId="7" fillId="0" borderId="0" xfId="0" applyFont="1" applyAlignment="1" applyProtection="1">
      <alignment horizontal="center" vertical="center" wrapText="1"/>
      <protection locked="0"/>
    </xf>
    <xf numFmtId="0" fontId="6" fillId="3" borderId="0" xfId="0" applyFont="1" applyFill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1" xfId="0" applyFont="1" applyBorder="1"/>
    <xf numFmtId="0" fontId="6" fillId="0" borderId="0" xfId="0" applyFont="1" applyAlignment="1">
      <alignment horizontal="center"/>
    </xf>
    <xf numFmtId="0" fontId="5" fillId="3" borderId="2" xfId="0" applyFont="1" applyFill="1" applyBorder="1" applyAlignment="1" applyProtection="1">
      <alignment horizontal="center" vertical="center" wrapText="1"/>
      <protection locked="0"/>
    </xf>
    <xf numFmtId="165" fontId="6" fillId="0" borderId="1" xfId="0" applyNumberFormat="1" applyFont="1" applyBorder="1" applyAlignment="1">
      <alignment horizontal="left"/>
    </xf>
    <xf numFmtId="14" fontId="6" fillId="0" borderId="1" xfId="0" applyNumberFormat="1" applyFont="1" applyBorder="1"/>
    <xf numFmtId="49" fontId="9" fillId="0" borderId="1" xfId="0" applyNumberFormat="1" applyFont="1" applyBorder="1" applyAlignment="1">
      <alignment horizontal="right" vertical="center"/>
    </xf>
    <xf numFmtId="14" fontId="6" fillId="0" borderId="1" xfId="0" applyNumberFormat="1" applyFont="1" applyBorder="1" applyAlignment="1">
      <alignment horizontal="right"/>
    </xf>
    <xf numFmtId="0" fontId="6" fillId="6" borderId="0" xfId="0" applyFont="1" applyFill="1"/>
    <xf numFmtId="0" fontId="6" fillId="6" borderId="3" xfId="0" applyFont="1" applyFill="1" applyBorder="1" applyAlignment="1">
      <alignment horizontal="right"/>
    </xf>
    <xf numFmtId="49" fontId="9" fillId="0" borderId="1" xfId="0" applyNumberFormat="1" applyFont="1" applyBorder="1" applyAlignment="1">
      <alignment vertical="center"/>
    </xf>
    <xf numFmtId="0" fontId="10" fillId="5" borderId="1" xfId="0" applyFont="1" applyFill="1" applyBorder="1" applyAlignment="1">
      <alignment horizontal="center"/>
    </xf>
    <xf numFmtId="0" fontId="10" fillId="5" borderId="1" xfId="0" applyFont="1" applyFill="1" applyBorder="1"/>
    <xf numFmtId="14" fontId="6" fillId="0" borderId="2" xfId="0" applyNumberFormat="1" applyFont="1" applyBorder="1"/>
    <xf numFmtId="49" fontId="9" fillId="0" borderId="2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164" fontId="7" fillId="0" borderId="2" xfId="0" applyNumberFormat="1" applyFont="1" applyBorder="1" applyAlignment="1">
      <alignment vertical="center"/>
    </xf>
    <xf numFmtId="0" fontId="1" fillId="3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11" fontId="3" fillId="0" borderId="1" xfId="0" applyNumberFormat="1" applyFont="1" applyBorder="1"/>
    <xf numFmtId="0" fontId="1" fillId="2" borderId="1" xfId="0" applyFont="1" applyFill="1" applyBorder="1" applyAlignment="1">
      <alignment horizontal="center"/>
    </xf>
    <xf numFmtId="11" fontId="7" fillId="8" borderId="1" xfId="0" applyNumberFormat="1" applyFont="1" applyFill="1" applyBorder="1" applyAlignment="1" applyProtection="1">
      <alignment horizontal="center" vertical="center"/>
      <protection locked="0"/>
    </xf>
    <xf numFmtId="11" fontId="7" fillId="8" borderId="1" xfId="0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/>
    </xf>
    <xf numFmtId="166" fontId="7" fillId="0" borderId="2" xfId="0" applyNumberFormat="1" applyFont="1" applyBorder="1" applyAlignment="1" applyProtection="1">
      <alignment horizontal="center" vertical="center"/>
      <protection locked="0"/>
    </xf>
    <xf numFmtId="10" fontId="3" fillId="0" borderId="2" xfId="0" applyNumberFormat="1" applyFont="1" applyBorder="1" applyAlignment="1">
      <alignment horizontal="center"/>
    </xf>
    <xf numFmtId="166" fontId="7" fillId="0" borderId="2" xfId="0" applyNumberFormat="1" applyFont="1" applyBorder="1" applyAlignment="1" applyProtection="1">
      <alignment horizontal="center" vertical="top"/>
      <protection locked="0"/>
    </xf>
    <xf numFmtId="0" fontId="1" fillId="0" borderId="8" xfId="0" applyFon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11" fontId="3" fillId="0" borderId="8" xfId="0" applyNumberFormat="1" applyFont="1" applyBorder="1"/>
    <xf numFmtId="11" fontId="3" fillId="0" borderId="10" xfId="0" applyNumberFormat="1" applyFont="1" applyBorder="1"/>
    <xf numFmtId="11" fontId="3" fillId="0" borderId="11" xfId="0" applyNumberFormat="1" applyFont="1" applyBorder="1"/>
    <xf numFmtId="2" fontId="3" fillId="0" borderId="1" xfId="0" applyNumberFormat="1" applyFont="1" applyBorder="1"/>
    <xf numFmtId="11" fontId="3" fillId="8" borderId="9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64" fontId="2" fillId="9" borderId="4" xfId="0" applyNumberFormat="1" applyFont="1" applyFill="1" applyBorder="1" applyAlignment="1">
      <alignment horizontal="center" vertical="center"/>
    </xf>
    <xf numFmtId="164" fontId="2" fillId="9" borderId="5" xfId="0" applyNumberFormat="1" applyFont="1" applyFill="1" applyBorder="1" applyAlignment="1">
      <alignment horizontal="center" vertical="center"/>
    </xf>
    <xf numFmtId="164" fontId="2" fillId="9" borderId="6" xfId="0" applyNumberFormat="1" applyFont="1" applyFill="1" applyBorder="1" applyAlignment="1">
      <alignment horizontal="center" vertical="center"/>
    </xf>
    <xf numFmtId="164" fontId="2" fillId="9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2"/>
        </patternFill>
      </fill>
    </dxf>
    <dxf>
      <font>
        <color auto="1"/>
      </font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"/>
  <sheetViews>
    <sheetView tabSelected="1" zoomScale="96" workbookViewId="0">
      <selection activeCell="L3" sqref="L3"/>
    </sheetView>
  </sheetViews>
  <sheetFormatPr baseColWidth="10" defaultColWidth="19.5" defaultRowHeight="13" x14ac:dyDescent="0.15"/>
  <cols>
    <col min="1" max="5" width="19.5" style="12"/>
    <col min="6" max="6" width="19.5" style="45"/>
    <col min="7" max="8" width="19.5" style="12"/>
    <col min="9" max="9" width="16.83203125" style="12" customWidth="1"/>
    <col min="10" max="11" width="19.5" style="12"/>
    <col min="12" max="12" width="15.5" style="12" customWidth="1"/>
    <col min="13" max="16384" width="19.5" style="12"/>
  </cols>
  <sheetData>
    <row r="1" spans="1:12" x14ac:dyDescent="0.15">
      <c r="C1" s="65" t="s">
        <v>0</v>
      </c>
      <c r="D1" s="65"/>
      <c r="E1" s="65"/>
      <c r="F1" s="48" t="s">
        <v>101</v>
      </c>
      <c r="G1" s="66" t="s">
        <v>205</v>
      </c>
      <c r="H1" s="67"/>
      <c r="I1" s="68" t="s">
        <v>206</v>
      </c>
      <c r="J1" s="67"/>
      <c r="K1" s="68" t="s">
        <v>207</v>
      </c>
      <c r="L1" s="69"/>
    </row>
    <row r="2" spans="1:12" ht="14.5" customHeight="1" x14ac:dyDescent="0.15">
      <c r="A2" s="24"/>
      <c r="B2" s="13" t="s">
        <v>1</v>
      </c>
      <c r="C2" s="14" t="s">
        <v>2</v>
      </c>
      <c r="D2" s="15" t="s">
        <v>3</v>
      </c>
      <c r="E2" s="46" t="s">
        <v>4</v>
      </c>
      <c r="F2" s="54"/>
      <c r="G2" s="58" t="s">
        <v>203</v>
      </c>
      <c r="H2" s="51" t="s">
        <v>204</v>
      </c>
      <c r="I2" s="49" t="s">
        <v>203</v>
      </c>
      <c r="J2" s="51" t="s">
        <v>204</v>
      </c>
      <c r="K2" s="49" t="s">
        <v>203</v>
      </c>
      <c r="L2" s="59" t="s">
        <v>204</v>
      </c>
    </row>
    <row r="3" spans="1:12" x14ac:dyDescent="0.15">
      <c r="A3" s="16" t="s">
        <v>143</v>
      </c>
      <c r="B3" s="7">
        <v>45315</v>
      </c>
      <c r="C3" s="17">
        <v>35.541145626017503</v>
      </c>
      <c r="D3" s="17">
        <v>18.206022406814501</v>
      </c>
      <c r="E3" s="47">
        <v>22.8184665158713</v>
      </c>
      <c r="F3" s="55">
        <v>0.77838381846776894</v>
      </c>
      <c r="G3" s="60">
        <f>(10^((D3-37.429)/-3.4921))/2</f>
        <v>159835.85939604894</v>
      </c>
      <c r="H3" s="53">
        <f>G3*(50/2)*(1000/150)</f>
        <v>26639309.89934149</v>
      </c>
      <c r="I3" s="50">
        <f>(10^((E3-35.023)/-3.1786))/2</f>
        <v>3455.9225656324952</v>
      </c>
      <c r="J3" s="52">
        <f>I3*(50/2)*(1000/150)</f>
        <v>575987.09427208256</v>
      </c>
      <c r="K3" s="63">
        <f>10^((C3-44.522)/( -3.5374))/5</f>
        <v>69.160668886260325</v>
      </c>
      <c r="L3" s="64">
        <f>K3*(50/5)*(1000/150)</f>
        <v>4610.7112590840225</v>
      </c>
    </row>
    <row r="4" spans="1:12" x14ac:dyDescent="0.15">
      <c r="A4" s="16" t="s">
        <v>142</v>
      </c>
      <c r="B4" s="7">
        <v>45319</v>
      </c>
      <c r="C4" s="17">
        <v>34.5191783006712</v>
      </c>
      <c r="D4" s="17">
        <v>17.176130562638299</v>
      </c>
      <c r="E4" s="47">
        <v>21.5815009753595</v>
      </c>
      <c r="F4" s="55">
        <v>0.51503721352712717</v>
      </c>
      <c r="G4" s="60">
        <f t="shared" ref="G4:G34" si="0">(10^((D4-37.429)/-3.4921))/2</f>
        <v>315206.17056834715</v>
      </c>
      <c r="H4" s="53">
        <f t="shared" ref="H4:H67" si="1">G4*(50/2)*(1000/150)</f>
        <v>52534361.761391193</v>
      </c>
      <c r="I4" s="50">
        <f t="shared" ref="I4:I34" si="2">(10^((E4-35.023)/-3.1786))/2</f>
        <v>8466.7785936632463</v>
      </c>
      <c r="J4" s="52">
        <f t="shared" ref="J4:J67" si="3">I4*(50/2)*(1000/150)</f>
        <v>1411129.765610541</v>
      </c>
      <c r="K4" s="63">
        <f t="shared" ref="K4:K67" si="4">10^((C4-44.522)/( -3.5374))/5</f>
        <v>134.51251993486486</v>
      </c>
      <c r="L4" s="64">
        <f t="shared" ref="L4:L67" si="5">K4*(50/5)*(1000/150)</f>
        <v>8967.5013289909912</v>
      </c>
    </row>
    <row r="5" spans="1:12" x14ac:dyDescent="0.15">
      <c r="A5" s="8" t="s">
        <v>141</v>
      </c>
      <c r="B5" s="7">
        <v>45322</v>
      </c>
      <c r="C5" s="17">
        <v>34.465258715788302</v>
      </c>
      <c r="D5" s="17">
        <v>17.6648942938854</v>
      </c>
      <c r="E5" s="47">
        <v>23.075753196204399</v>
      </c>
      <c r="F5" s="55">
        <v>0.47928567343486184</v>
      </c>
      <c r="G5" s="60">
        <f t="shared" si="0"/>
        <v>228366.29954083581</v>
      </c>
      <c r="H5" s="53">
        <f t="shared" si="1"/>
        <v>38061049.923472635</v>
      </c>
      <c r="I5" s="50">
        <f t="shared" si="2"/>
        <v>2868.2738034209233</v>
      </c>
      <c r="J5" s="52">
        <f t="shared" si="3"/>
        <v>478045.63390348718</v>
      </c>
      <c r="K5" s="63">
        <f t="shared" si="4"/>
        <v>139.31742061397145</v>
      </c>
      <c r="L5" s="64">
        <f t="shared" si="5"/>
        <v>9287.8280409314302</v>
      </c>
    </row>
    <row r="6" spans="1:12" x14ac:dyDescent="0.15">
      <c r="A6" s="16" t="s">
        <v>140</v>
      </c>
      <c r="B6" s="7">
        <v>45326</v>
      </c>
      <c r="C6" s="17">
        <v>33.216177721397102</v>
      </c>
      <c r="D6" s="17">
        <v>18.175822513382901</v>
      </c>
      <c r="E6" s="47">
        <v>26.1471364923223</v>
      </c>
      <c r="F6" s="55">
        <v>0</v>
      </c>
      <c r="G6" s="60">
        <f t="shared" si="0"/>
        <v>163050.55498027318</v>
      </c>
      <c r="H6" s="53">
        <f t="shared" si="1"/>
        <v>27175092.4967122</v>
      </c>
      <c r="I6" s="50">
        <f t="shared" si="2"/>
        <v>309.99265310201395</v>
      </c>
      <c r="J6" s="52">
        <f t="shared" si="3"/>
        <v>51665.442183668994</v>
      </c>
      <c r="K6" s="63">
        <f t="shared" si="4"/>
        <v>314.1322375981631</v>
      </c>
      <c r="L6" s="64">
        <f t="shared" si="5"/>
        <v>20942.149173210873</v>
      </c>
    </row>
    <row r="7" spans="1:12" x14ac:dyDescent="0.15">
      <c r="A7" s="16" t="s">
        <v>139</v>
      </c>
      <c r="B7" s="7">
        <v>45329</v>
      </c>
      <c r="C7" s="17">
        <v>33.662908856521703</v>
      </c>
      <c r="D7" s="17">
        <v>18.315641286426001</v>
      </c>
      <c r="E7" s="47">
        <v>25.989613886157301</v>
      </c>
      <c r="F7" s="55">
        <v>0</v>
      </c>
      <c r="G7" s="60">
        <f t="shared" si="0"/>
        <v>148690.6594826791</v>
      </c>
      <c r="H7" s="53">
        <f t="shared" si="1"/>
        <v>24781776.580446519</v>
      </c>
      <c r="I7" s="50">
        <f t="shared" si="2"/>
        <v>347.46305154814769</v>
      </c>
      <c r="J7" s="52">
        <f t="shared" si="3"/>
        <v>57910.508591357953</v>
      </c>
      <c r="K7" s="63">
        <f t="shared" si="4"/>
        <v>234.86836149911014</v>
      </c>
      <c r="L7" s="64">
        <f t="shared" si="5"/>
        <v>15657.890766607343</v>
      </c>
    </row>
    <row r="8" spans="1:12" x14ac:dyDescent="0.15">
      <c r="A8" s="16" t="s">
        <v>138</v>
      </c>
      <c r="B8" s="7">
        <v>45333</v>
      </c>
      <c r="C8" s="17">
        <v>36.384767304658098</v>
      </c>
      <c r="D8" s="17">
        <v>18.320604329375598</v>
      </c>
      <c r="E8" s="47">
        <v>22.739499571571098</v>
      </c>
      <c r="F8" s="55">
        <v>0.31843006897997583</v>
      </c>
      <c r="G8" s="60">
        <f t="shared" si="0"/>
        <v>148204.86752368711</v>
      </c>
      <c r="H8" s="53">
        <f t="shared" si="1"/>
        <v>24700811.253947854</v>
      </c>
      <c r="I8" s="50">
        <f t="shared" si="2"/>
        <v>3659.3783364317787</v>
      </c>
      <c r="J8" s="52">
        <f t="shared" si="3"/>
        <v>609896.38940529653</v>
      </c>
      <c r="K8" s="63">
        <f t="shared" si="4"/>
        <v>39.936758928928228</v>
      </c>
      <c r="L8" s="64">
        <f t="shared" si="5"/>
        <v>2662.450595261882</v>
      </c>
    </row>
    <row r="9" spans="1:12" x14ac:dyDescent="0.15">
      <c r="A9" s="16" t="s">
        <v>137</v>
      </c>
      <c r="B9" s="7">
        <v>45340</v>
      </c>
      <c r="C9" s="17">
        <v>33.659121289924101</v>
      </c>
      <c r="D9" s="17">
        <v>17.830908256599201</v>
      </c>
      <c r="E9" s="47">
        <v>22.865621400611801</v>
      </c>
      <c r="F9" s="55">
        <v>0</v>
      </c>
      <c r="G9" s="60">
        <f t="shared" si="0"/>
        <v>204687.89020129899</v>
      </c>
      <c r="H9" s="53">
        <f t="shared" si="1"/>
        <v>34114648.366883166</v>
      </c>
      <c r="I9" s="50">
        <f t="shared" si="2"/>
        <v>3339.8648390122094</v>
      </c>
      <c r="J9" s="52">
        <f t="shared" si="3"/>
        <v>556644.13983536826</v>
      </c>
      <c r="K9" s="63">
        <f t="shared" si="4"/>
        <v>235.44812621823468</v>
      </c>
      <c r="L9" s="64">
        <f t="shared" si="5"/>
        <v>15696.541747882311</v>
      </c>
    </row>
    <row r="10" spans="1:12" x14ac:dyDescent="0.15">
      <c r="A10" s="16" t="s">
        <v>136</v>
      </c>
      <c r="B10" s="7">
        <v>45343</v>
      </c>
      <c r="C10" s="17">
        <v>35.115369707469704</v>
      </c>
      <c r="D10" s="17">
        <v>18.8887548520355</v>
      </c>
      <c r="E10" s="47">
        <v>25.426350530579501</v>
      </c>
      <c r="F10" s="55">
        <v>0</v>
      </c>
      <c r="G10" s="60">
        <f t="shared" si="0"/>
        <v>101898.20148915249</v>
      </c>
      <c r="H10" s="53">
        <f t="shared" si="1"/>
        <v>16983033.581525415</v>
      </c>
      <c r="I10" s="50">
        <f t="shared" si="2"/>
        <v>522.53271426786841</v>
      </c>
      <c r="J10" s="52">
        <f t="shared" si="3"/>
        <v>87088.785711311415</v>
      </c>
      <c r="K10" s="63">
        <f t="shared" si="4"/>
        <v>91.247982531722329</v>
      </c>
      <c r="L10" s="64">
        <f t="shared" si="5"/>
        <v>6083.1988354481555</v>
      </c>
    </row>
    <row r="11" spans="1:12" x14ac:dyDescent="0.15">
      <c r="A11" s="16" t="s">
        <v>135</v>
      </c>
      <c r="B11" s="7">
        <v>45347</v>
      </c>
      <c r="C11" s="17">
        <v>37.372385502351399</v>
      </c>
      <c r="D11" s="17">
        <v>18.590996989030501</v>
      </c>
      <c r="E11" s="47">
        <v>23.371175069581401</v>
      </c>
      <c r="F11" s="55">
        <v>0.5672324208289411</v>
      </c>
      <c r="G11" s="60">
        <f t="shared" si="0"/>
        <v>124003.13122041753</v>
      </c>
      <c r="H11" s="53">
        <f t="shared" si="1"/>
        <v>20667188.536736254</v>
      </c>
      <c r="I11" s="50">
        <f t="shared" si="2"/>
        <v>2315.6863137490345</v>
      </c>
      <c r="J11" s="52">
        <f t="shared" si="3"/>
        <v>385947.71895817242</v>
      </c>
      <c r="K11" s="63">
        <f t="shared" si="4"/>
        <v>20.99807913635005</v>
      </c>
      <c r="L11" s="64">
        <f t="shared" si="5"/>
        <v>1399.8719424233366</v>
      </c>
    </row>
    <row r="12" spans="1:12" x14ac:dyDescent="0.15">
      <c r="A12" s="8" t="s">
        <v>134</v>
      </c>
      <c r="B12" s="7">
        <v>45350</v>
      </c>
      <c r="C12" s="17">
        <v>35.229825967881197</v>
      </c>
      <c r="D12" s="17">
        <v>17.9197604040397</v>
      </c>
      <c r="E12" s="47">
        <v>23.054248906660199</v>
      </c>
      <c r="F12" s="55">
        <v>0.56863800390661101</v>
      </c>
      <c r="G12" s="60">
        <f t="shared" si="0"/>
        <v>193040.48122471233</v>
      </c>
      <c r="H12" s="53">
        <f t="shared" si="1"/>
        <v>32173413.537452053</v>
      </c>
      <c r="I12" s="50">
        <f t="shared" si="2"/>
        <v>2913.3049052041156</v>
      </c>
      <c r="J12" s="52">
        <f t="shared" si="3"/>
        <v>485550.8175340193</v>
      </c>
      <c r="K12" s="63">
        <f t="shared" si="4"/>
        <v>84.696844391495205</v>
      </c>
      <c r="L12" s="64">
        <f t="shared" si="5"/>
        <v>5646.4562927663474</v>
      </c>
    </row>
    <row r="13" spans="1:12" x14ac:dyDescent="0.15">
      <c r="A13" s="16" t="s">
        <v>5</v>
      </c>
      <c r="B13" s="7">
        <v>45354</v>
      </c>
      <c r="C13" s="18">
        <v>38.129219382064498</v>
      </c>
      <c r="D13" s="17">
        <v>17.535970527393701</v>
      </c>
      <c r="E13" s="47">
        <v>23.811325095055899</v>
      </c>
      <c r="F13" s="55">
        <v>0.64965127212154505</v>
      </c>
      <c r="G13" s="60">
        <f t="shared" si="0"/>
        <v>248628.38401438002</v>
      </c>
      <c r="H13" s="53">
        <f t="shared" si="1"/>
        <v>41438064.002396673</v>
      </c>
      <c r="I13" s="50">
        <f t="shared" si="2"/>
        <v>1683.4755305187521</v>
      </c>
      <c r="J13" s="52">
        <f t="shared" si="3"/>
        <v>280579.2550864587</v>
      </c>
      <c r="K13" s="63">
        <f t="shared" si="4"/>
        <v>12.830026309680681</v>
      </c>
      <c r="L13" s="64">
        <f t="shared" si="5"/>
        <v>855.33508731204552</v>
      </c>
    </row>
    <row r="14" spans="1:12" x14ac:dyDescent="0.15">
      <c r="A14" s="16" t="s">
        <v>6</v>
      </c>
      <c r="B14" s="7">
        <v>45357</v>
      </c>
      <c r="C14" s="18">
        <v>34.017239788635997</v>
      </c>
      <c r="D14" s="17">
        <v>15.830806789086701</v>
      </c>
      <c r="E14" s="47">
        <v>21.729120772189201</v>
      </c>
      <c r="F14" s="55">
        <v>0.45587573711674467</v>
      </c>
      <c r="G14" s="60">
        <f t="shared" si="0"/>
        <v>765318.99242390844</v>
      </c>
      <c r="H14" s="53">
        <f t="shared" si="1"/>
        <v>127553165.40398474</v>
      </c>
      <c r="I14" s="50">
        <f t="shared" si="2"/>
        <v>7608.1039418499031</v>
      </c>
      <c r="J14" s="52">
        <f t="shared" si="3"/>
        <v>1268017.3236416506</v>
      </c>
      <c r="K14" s="63">
        <f t="shared" si="4"/>
        <v>186.49082293185765</v>
      </c>
      <c r="L14" s="64">
        <f t="shared" si="5"/>
        <v>12432.721528790511</v>
      </c>
    </row>
    <row r="15" spans="1:12" x14ac:dyDescent="0.15">
      <c r="A15" s="16" t="s">
        <v>7</v>
      </c>
      <c r="B15" s="7">
        <v>45361</v>
      </c>
      <c r="C15" s="18">
        <v>35.128441904948097</v>
      </c>
      <c r="D15" s="17">
        <v>18.725571138110201</v>
      </c>
      <c r="E15" s="47">
        <v>27.646452131959101</v>
      </c>
      <c r="F15" s="55">
        <v>0</v>
      </c>
      <c r="G15" s="60">
        <f t="shared" si="0"/>
        <v>113473.88183525892</v>
      </c>
      <c r="H15" s="53">
        <f t="shared" si="1"/>
        <v>18912313.639209822</v>
      </c>
      <c r="I15" s="50">
        <f t="shared" si="2"/>
        <v>104.63111008966459</v>
      </c>
      <c r="J15" s="52">
        <f t="shared" si="3"/>
        <v>17438.51834827743</v>
      </c>
      <c r="K15" s="63">
        <f t="shared" si="4"/>
        <v>90.474844591632731</v>
      </c>
      <c r="L15" s="64">
        <f t="shared" si="5"/>
        <v>6031.6563061088491</v>
      </c>
    </row>
    <row r="16" spans="1:12" x14ac:dyDescent="0.15">
      <c r="A16" s="16" t="s">
        <v>8</v>
      </c>
      <c r="B16" s="7">
        <v>45368</v>
      </c>
      <c r="C16" s="18">
        <v>37.690585328688798</v>
      </c>
      <c r="D16" s="17">
        <v>16.056711905666599</v>
      </c>
      <c r="E16" s="47">
        <v>21.2183472158287</v>
      </c>
      <c r="F16" s="55">
        <v>0.53555497275157193</v>
      </c>
      <c r="G16" s="60">
        <f t="shared" si="0"/>
        <v>659404.87977814313</v>
      </c>
      <c r="H16" s="53">
        <f t="shared" si="1"/>
        <v>109900813.2963572</v>
      </c>
      <c r="I16" s="50">
        <f t="shared" si="2"/>
        <v>11014.576335938498</v>
      </c>
      <c r="J16" s="52">
        <f t="shared" si="3"/>
        <v>1835762.7226564165</v>
      </c>
      <c r="K16" s="63">
        <f t="shared" si="4"/>
        <v>17.069725779455844</v>
      </c>
      <c r="L16" s="64">
        <f t="shared" si="5"/>
        <v>1137.9817186303897</v>
      </c>
    </row>
    <row r="17" spans="1:12" x14ac:dyDescent="0.15">
      <c r="A17" s="8" t="s">
        <v>133</v>
      </c>
      <c r="B17" s="7">
        <v>45371</v>
      </c>
      <c r="C17" s="17">
        <v>35.333924856778502</v>
      </c>
      <c r="D17" s="17">
        <v>17.404984373477401</v>
      </c>
      <c r="E17" s="47">
        <v>23.002312625089999</v>
      </c>
      <c r="F17" s="55">
        <v>0.37405385129867474</v>
      </c>
      <c r="G17" s="60">
        <f t="shared" si="0"/>
        <v>271056.59999663185</v>
      </c>
      <c r="H17" s="53">
        <f t="shared" si="1"/>
        <v>45176099.999438643</v>
      </c>
      <c r="I17" s="50">
        <f t="shared" si="2"/>
        <v>3024.999432535903</v>
      </c>
      <c r="J17" s="52">
        <f t="shared" si="3"/>
        <v>504166.5720893172</v>
      </c>
      <c r="K17" s="63">
        <f t="shared" si="4"/>
        <v>79.147855131934222</v>
      </c>
      <c r="L17" s="64">
        <f t="shared" si="5"/>
        <v>5276.5236754622811</v>
      </c>
    </row>
    <row r="18" spans="1:12" x14ac:dyDescent="0.15">
      <c r="A18" s="16" t="s">
        <v>9</v>
      </c>
      <c r="B18" s="7">
        <v>45375</v>
      </c>
      <c r="C18" s="18">
        <v>39.575136674512102</v>
      </c>
      <c r="D18" s="17">
        <v>16.578643501181201</v>
      </c>
      <c r="E18" s="47">
        <v>21.384149533235</v>
      </c>
      <c r="F18" s="55">
        <v>0.7611694436743266</v>
      </c>
      <c r="G18" s="60">
        <f t="shared" si="0"/>
        <v>467402.99362524436</v>
      </c>
      <c r="H18" s="53">
        <f t="shared" si="1"/>
        <v>77900498.937540725</v>
      </c>
      <c r="I18" s="50">
        <f t="shared" si="2"/>
        <v>9768.001984663606</v>
      </c>
      <c r="J18" s="52">
        <f t="shared" si="3"/>
        <v>1628000.3307772677</v>
      </c>
      <c r="K18" s="63">
        <f t="shared" si="4"/>
        <v>5.0058302856237331</v>
      </c>
      <c r="L18" s="64">
        <f t="shared" si="5"/>
        <v>333.72201904158226</v>
      </c>
    </row>
    <row r="19" spans="1:12" x14ac:dyDescent="0.15">
      <c r="A19" s="16" t="s">
        <v>10</v>
      </c>
      <c r="B19" s="7">
        <v>45378</v>
      </c>
      <c r="C19" s="18">
        <v>37.731580518280403</v>
      </c>
      <c r="D19" s="17">
        <v>16.912172064248001</v>
      </c>
      <c r="E19" s="47">
        <v>22.3409330053708</v>
      </c>
      <c r="F19" s="55">
        <v>0.40841705697700781</v>
      </c>
      <c r="G19" s="60">
        <f t="shared" si="0"/>
        <v>375130.20638541295</v>
      </c>
      <c r="H19" s="53">
        <f t="shared" si="1"/>
        <v>62521701.064235494</v>
      </c>
      <c r="I19" s="50">
        <f t="shared" si="2"/>
        <v>4884.2503276148846</v>
      </c>
      <c r="J19" s="52">
        <f t="shared" si="3"/>
        <v>814041.72126914747</v>
      </c>
      <c r="K19" s="63">
        <f t="shared" si="4"/>
        <v>16.620246879447091</v>
      </c>
      <c r="L19" s="64">
        <f t="shared" si="5"/>
        <v>1108.0164586298063</v>
      </c>
    </row>
    <row r="20" spans="1:12" x14ac:dyDescent="0.15">
      <c r="A20" s="16" t="s">
        <v>11</v>
      </c>
      <c r="B20" s="7">
        <v>45382</v>
      </c>
      <c r="C20" s="18">
        <v>39.0787763614602</v>
      </c>
      <c r="D20" s="17">
        <v>16.9690832750418</v>
      </c>
      <c r="E20" s="47">
        <v>26.115080880201901</v>
      </c>
      <c r="F20" s="55">
        <v>0.66410787633002388</v>
      </c>
      <c r="G20" s="60">
        <f t="shared" si="0"/>
        <v>361314.09600583761</v>
      </c>
      <c r="H20" s="53">
        <f t="shared" si="1"/>
        <v>60219016.000972942</v>
      </c>
      <c r="I20" s="50">
        <f t="shared" si="2"/>
        <v>317.27526980962068</v>
      </c>
      <c r="J20" s="52">
        <f t="shared" si="3"/>
        <v>52879.211634936786</v>
      </c>
      <c r="K20" s="63">
        <f t="shared" si="4"/>
        <v>6.9150282310353459</v>
      </c>
      <c r="L20" s="64">
        <f t="shared" si="5"/>
        <v>461.00188206902311</v>
      </c>
    </row>
    <row r="21" spans="1:12" x14ac:dyDescent="0.15">
      <c r="A21" s="16" t="s">
        <v>12</v>
      </c>
      <c r="B21" s="7">
        <v>45385</v>
      </c>
      <c r="C21" s="18">
        <v>37.761604661442803</v>
      </c>
      <c r="D21" s="17">
        <v>16.059096313391201</v>
      </c>
      <c r="E21" s="47">
        <v>20.293203692595402</v>
      </c>
      <c r="F21" s="55">
        <v>0.54270545860314579</v>
      </c>
      <c r="G21" s="60">
        <f t="shared" si="0"/>
        <v>658368.97380252986</v>
      </c>
      <c r="H21" s="53">
        <f t="shared" si="1"/>
        <v>109728162.30042166</v>
      </c>
      <c r="I21" s="50">
        <f t="shared" si="2"/>
        <v>21528.886602987433</v>
      </c>
      <c r="J21" s="52">
        <f t="shared" si="3"/>
        <v>3588147.7671645721</v>
      </c>
      <c r="K21" s="63">
        <f t="shared" si="4"/>
        <v>16.29858269560161</v>
      </c>
      <c r="L21" s="64">
        <f t="shared" si="5"/>
        <v>1086.572179706774</v>
      </c>
    </row>
    <row r="22" spans="1:12" x14ac:dyDescent="0.15">
      <c r="A22" s="16" t="s">
        <v>13</v>
      </c>
      <c r="B22" s="7">
        <v>45389</v>
      </c>
      <c r="C22" s="18">
        <v>37.325782215643102</v>
      </c>
      <c r="D22" s="17">
        <v>15.769953625501699</v>
      </c>
      <c r="E22" s="47">
        <v>19.342089922550802</v>
      </c>
      <c r="F22" s="55">
        <v>0.5205919068325997</v>
      </c>
      <c r="G22" s="60">
        <f t="shared" si="0"/>
        <v>796651.6172056006</v>
      </c>
      <c r="H22" s="53">
        <f t="shared" si="1"/>
        <v>132775269.53426677</v>
      </c>
      <c r="I22" s="50">
        <f t="shared" si="2"/>
        <v>42879.102308822934</v>
      </c>
      <c r="J22" s="52">
        <f t="shared" si="3"/>
        <v>7146517.0514704892</v>
      </c>
      <c r="K22" s="63">
        <f t="shared" si="4"/>
        <v>21.644821794110172</v>
      </c>
      <c r="L22" s="64">
        <f t="shared" si="5"/>
        <v>1442.9881196073447</v>
      </c>
    </row>
    <row r="23" spans="1:12" x14ac:dyDescent="0.15">
      <c r="A23" s="16" t="s">
        <v>14</v>
      </c>
      <c r="B23" s="7">
        <v>45392</v>
      </c>
      <c r="C23" s="18">
        <v>39.267253857158202</v>
      </c>
      <c r="D23" s="17">
        <v>16.957848711871101</v>
      </c>
      <c r="E23" s="47">
        <v>21.243673053813701</v>
      </c>
      <c r="F23" s="55">
        <v>0.26173116326468959</v>
      </c>
      <c r="G23" s="60">
        <f t="shared" si="0"/>
        <v>364000.55164791626</v>
      </c>
      <c r="H23" s="53">
        <f t="shared" si="1"/>
        <v>60666758.607986048</v>
      </c>
      <c r="I23" s="50">
        <f t="shared" si="2"/>
        <v>10814.344228762982</v>
      </c>
      <c r="J23" s="52">
        <f t="shared" si="3"/>
        <v>1802390.7047938304</v>
      </c>
      <c r="K23" s="63">
        <f t="shared" si="4"/>
        <v>6.1166353997577643</v>
      </c>
      <c r="L23" s="64">
        <f t="shared" si="5"/>
        <v>407.77569331718433</v>
      </c>
    </row>
    <row r="24" spans="1:12" x14ac:dyDescent="0.15">
      <c r="A24" s="16" t="s">
        <v>15</v>
      </c>
      <c r="B24" s="7">
        <v>45396</v>
      </c>
      <c r="C24" s="17">
        <v>34.371567357417902</v>
      </c>
      <c r="D24" s="17">
        <v>15.8840426387933</v>
      </c>
      <c r="E24" s="47">
        <v>19.9149408621169</v>
      </c>
      <c r="F24" s="55">
        <v>0.46610365457080161</v>
      </c>
      <c r="G24" s="60">
        <f t="shared" si="0"/>
        <v>738920.71013098606</v>
      </c>
      <c r="H24" s="53">
        <f t="shared" si="1"/>
        <v>123153451.68849769</v>
      </c>
      <c r="I24" s="50">
        <f t="shared" si="2"/>
        <v>28315.519705383482</v>
      </c>
      <c r="J24" s="52">
        <f t="shared" si="3"/>
        <v>4719253.2842305806</v>
      </c>
      <c r="K24" s="63">
        <f t="shared" si="4"/>
        <v>148.07828077178709</v>
      </c>
      <c r="L24" s="64">
        <f t="shared" si="5"/>
        <v>9871.8853847858081</v>
      </c>
    </row>
    <row r="25" spans="1:12" x14ac:dyDescent="0.15">
      <c r="A25" s="16" t="s">
        <v>16</v>
      </c>
      <c r="B25" s="7">
        <v>45399</v>
      </c>
      <c r="C25" s="18">
        <v>35.111896809780703</v>
      </c>
      <c r="D25" s="17">
        <v>16.4464975147148</v>
      </c>
      <c r="E25" s="47">
        <v>20.412395239649499</v>
      </c>
      <c r="F25" s="55">
        <v>0.35871173913300003</v>
      </c>
      <c r="G25" s="60">
        <f t="shared" si="0"/>
        <v>509956.22697551979</v>
      </c>
      <c r="H25" s="53">
        <f t="shared" si="1"/>
        <v>84992704.495919973</v>
      </c>
      <c r="I25" s="50">
        <f t="shared" si="2"/>
        <v>19748.014756381173</v>
      </c>
      <c r="J25" s="52">
        <f t="shared" si="3"/>
        <v>3291335.7927301959</v>
      </c>
      <c r="K25" s="63">
        <f t="shared" si="4"/>
        <v>91.4544909464651</v>
      </c>
      <c r="L25" s="64">
        <f t="shared" si="5"/>
        <v>6096.9660630976741</v>
      </c>
    </row>
    <row r="26" spans="1:12" x14ac:dyDescent="0.15">
      <c r="A26" s="16" t="s">
        <v>17</v>
      </c>
      <c r="B26" s="7">
        <v>45403</v>
      </c>
      <c r="C26" s="18">
        <v>35.197472261007697</v>
      </c>
      <c r="D26" s="17">
        <v>16.636166126631501</v>
      </c>
      <c r="E26" s="47">
        <v>23.096860911966299</v>
      </c>
      <c r="F26" s="55">
        <v>0.17937298805627988</v>
      </c>
      <c r="G26" s="60">
        <f t="shared" si="0"/>
        <v>450007.00438764202</v>
      </c>
      <c r="H26" s="53">
        <f t="shared" si="1"/>
        <v>75001167.397940338</v>
      </c>
      <c r="I26" s="50">
        <f t="shared" si="2"/>
        <v>2824.7501243701809</v>
      </c>
      <c r="J26" s="52">
        <f t="shared" si="3"/>
        <v>470791.68739503017</v>
      </c>
      <c r="K26" s="63">
        <f t="shared" si="4"/>
        <v>86.49946325136527</v>
      </c>
      <c r="L26" s="64">
        <f t="shared" si="5"/>
        <v>5766.6308834243519</v>
      </c>
    </row>
    <row r="27" spans="1:12" x14ac:dyDescent="0.15">
      <c r="A27" s="8" t="s">
        <v>144</v>
      </c>
      <c r="B27" s="7">
        <v>45406</v>
      </c>
      <c r="C27" s="17">
        <v>34.265935933147503</v>
      </c>
      <c r="D27" s="17">
        <v>17.628005957259798</v>
      </c>
      <c r="E27" s="47">
        <v>24.655665137313299</v>
      </c>
      <c r="F27" s="55">
        <v>0.14565114100035736</v>
      </c>
      <c r="G27" s="60">
        <f t="shared" si="0"/>
        <v>233988.96822447696</v>
      </c>
      <c r="H27" s="53">
        <f t="shared" si="1"/>
        <v>38998161.370746158</v>
      </c>
      <c r="I27" s="50">
        <f t="shared" si="2"/>
        <v>913.21729225403737</v>
      </c>
      <c r="J27" s="52">
        <f t="shared" si="3"/>
        <v>152202.88204233957</v>
      </c>
      <c r="K27" s="63">
        <f t="shared" si="4"/>
        <v>158.61807718493316</v>
      </c>
      <c r="L27" s="64">
        <f t="shared" si="5"/>
        <v>10574.538478995544</v>
      </c>
    </row>
    <row r="28" spans="1:12" x14ac:dyDescent="0.15">
      <c r="A28" s="16" t="s">
        <v>18</v>
      </c>
      <c r="B28" s="7">
        <v>45410</v>
      </c>
      <c r="C28" s="18">
        <v>36.5579196340544</v>
      </c>
      <c r="D28" s="17">
        <v>15.685218594210101</v>
      </c>
      <c r="E28" s="47">
        <v>21.016098520129301</v>
      </c>
      <c r="F28" s="55">
        <v>0.41903114156247656</v>
      </c>
      <c r="G28" s="60">
        <f t="shared" si="0"/>
        <v>842428.82814141165</v>
      </c>
      <c r="H28" s="53">
        <f t="shared" si="1"/>
        <v>140404804.69023529</v>
      </c>
      <c r="I28" s="50">
        <f t="shared" si="2"/>
        <v>12752.520440917322</v>
      </c>
      <c r="J28" s="52">
        <f t="shared" si="3"/>
        <v>2125420.0734862206</v>
      </c>
      <c r="K28" s="63">
        <f t="shared" si="4"/>
        <v>35.679912288762502</v>
      </c>
      <c r="L28" s="64">
        <f t="shared" si="5"/>
        <v>2378.6608192508334</v>
      </c>
    </row>
    <row r="29" spans="1:12" x14ac:dyDescent="0.15">
      <c r="A29" s="16" t="s">
        <v>19</v>
      </c>
      <c r="B29" s="7">
        <v>45413</v>
      </c>
      <c r="C29" s="18">
        <v>35.348964319852797</v>
      </c>
      <c r="D29" s="17">
        <v>16.888490320872499</v>
      </c>
      <c r="E29" s="47">
        <v>21.7465059691026</v>
      </c>
      <c r="F29" s="55">
        <v>0.17676553422768682</v>
      </c>
      <c r="G29" s="60">
        <f t="shared" si="0"/>
        <v>381033.84677734337</v>
      </c>
      <c r="H29" s="53">
        <f t="shared" si="1"/>
        <v>63505641.12955723</v>
      </c>
      <c r="I29" s="50">
        <f t="shared" si="2"/>
        <v>7512.8892413660778</v>
      </c>
      <c r="J29" s="52">
        <f t="shared" si="3"/>
        <v>1252148.2068943463</v>
      </c>
      <c r="K29" s="63">
        <f t="shared" si="4"/>
        <v>78.376811501029252</v>
      </c>
      <c r="L29" s="64">
        <f t="shared" si="5"/>
        <v>5225.1207667352837</v>
      </c>
    </row>
    <row r="30" spans="1:12" x14ac:dyDescent="0.15">
      <c r="A30" s="16" t="s">
        <v>20</v>
      </c>
      <c r="B30" s="7">
        <v>45417</v>
      </c>
      <c r="C30" s="18">
        <v>34.402112855145504</v>
      </c>
      <c r="D30" s="17">
        <v>16.3452581870798</v>
      </c>
      <c r="E30" s="47">
        <v>22.754653044891899</v>
      </c>
      <c r="F30" s="55">
        <v>0.35149579078999871</v>
      </c>
      <c r="G30" s="60">
        <f t="shared" si="0"/>
        <v>545159.84345746145</v>
      </c>
      <c r="H30" s="53">
        <f t="shared" si="1"/>
        <v>90859973.909576908</v>
      </c>
      <c r="I30" s="50">
        <f t="shared" si="2"/>
        <v>3619.4282410489113</v>
      </c>
      <c r="J30" s="52">
        <f t="shared" si="3"/>
        <v>603238.0401748186</v>
      </c>
      <c r="K30" s="63">
        <f t="shared" si="4"/>
        <v>145.16313864365111</v>
      </c>
      <c r="L30" s="64">
        <f t="shared" si="5"/>
        <v>9677.5425762434079</v>
      </c>
    </row>
    <row r="31" spans="1:12" x14ac:dyDescent="0.15">
      <c r="A31" s="8" t="s">
        <v>145</v>
      </c>
      <c r="B31" s="7">
        <v>45427</v>
      </c>
      <c r="C31" s="17">
        <v>37.840763810165797</v>
      </c>
      <c r="D31" s="17">
        <v>17.927459604502801</v>
      </c>
      <c r="E31" s="47">
        <v>24.187204801550699</v>
      </c>
      <c r="F31" s="55">
        <v>0.52097600183360138</v>
      </c>
      <c r="G31" s="60">
        <f t="shared" si="0"/>
        <v>192062.97140612573</v>
      </c>
      <c r="H31" s="53">
        <f t="shared" si="1"/>
        <v>32010495.234354287</v>
      </c>
      <c r="I31" s="50">
        <f t="shared" si="2"/>
        <v>1282.1935312931635</v>
      </c>
      <c r="J31" s="52">
        <f t="shared" si="3"/>
        <v>213698.92188219391</v>
      </c>
      <c r="K31" s="63">
        <f t="shared" si="4"/>
        <v>15.480039454075186</v>
      </c>
      <c r="L31" s="64">
        <f t="shared" si="5"/>
        <v>1032.002630271679</v>
      </c>
    </row>
    <row r="32" spans="1:12" x14ac:dyDescent="0.15">
      <c r="A32" s="8" t="s">
        <v>146</v>
      </c>
      <c r="B32" s="7">
        <v>45431</v>
      </c>
      <c r="C32" s="17">
        <v>32.193424787511802</v>
      </c>
      <c r="D32" s="17">
        <v>18.467391143180699</v>
      </c>
      <c r="E32" s="47">
        <v>23.723465624178001</v>
      </c>
      <c r="F32" s="55">
        <v>9.6426376035221861E-2</v>
      </c>
      <c r="G32" s="60">
        <f t="shared" si="0"/>
        <v>134532.89913311909</v>
      </c>
      <c r="H32" s="53">
        <f t="shared" si="1"/>
        <v>22422149.85551985</v>
      </c>
      <c r="I32" s="50">
        <f t="shared" si="2"/>
        <v>1794.1045253847681</v>
      </c>
      <c r="J32" s="52">
        <f t="shared" si="3"/>
        <v>299017.42089746136</v>
      </c>
      <c r="K32" s="63">
        <f t="shared" si="4"/>
        <v>611.27708851004343</v>
      </c>
      <c r="L32" s="64">
        <f t="shared" si="5"/>
        <v>40751.805900669562</v>
      </c>
    </row>
    <row r="33" spans="1:12" x14ac:dyDescent="0.15">
      <c r="A33" s="8" t="s">
        <v>147</v>
      </c>
      <c r="B33" s="7">
        <v>45434</v>
      </c>
      <c r="C33" s="17">
        <v>31.215251924839301</v>
      </c>
      <c r="D33" s="17">
        <v>18.234920013215898</v>
      </c>
      <c r="E33" s="47">
        <v>23.4630866070042</v>
      </c>
      <c r="F33" s="55">
        <v>0</v>
      </c>
      <c r="G33" s="60">
        <f t="shared" si="0"/>
        <v>156819.14559442381</v>
      </c>
      <c r="H33" s="53">
        <f t="shared" si="1"/>
        <v>26136524.265737303</v>
      </c>
      <c r="I33" s="50">
        <f t="shared" si="2"/>
        <v>2166.5264700068628</v>
      </c>
      <c r="J33" s="52">
        <f t="shared" si="3"/>
        <v>361087.74500114383</v>
      </c>
      <c r="K33" s="63">
        <f t="shared" si="4"/>
        <v>1155.4768050993669</v>
      </c>
      <c r="L33" s="64">
        <f t="shared" si="5"/>
        <v>77031.787006624465</v>
      </c>
    </row>
    <row r="34" spans="1:12" x14ac:dyDescent="0.15">
      <c r="A34" s="8" t="s">
        <v>148</v>
      </c>
      <c r="B34" s="7">
        <v>45438</v>
      </c>
      <c r="C34" s="17">
        <v>36.217670050015698</v>
      </c>
      <c r="D34" s="17">
        <v>18.5413078752023</v>
      </c>
      <c r="E34" s="47">
        <v>26.310164513651401</v>
      </c>
      <c r="F34" s="55">
        <v>0.61239322112500982</v>
      </c>
      <c r="G34" s="60">
        <f t="shared" si="0"/>
        <v>128133.19585173792</v>
      </c>
      <c r="H34" s="53">
        <f t="shared" si="1"/>
        <v>21355532.641956322</v>
      </c>
      <c r="I34" s="50">
        <f t="shared" si="2"/>
        <v>275.462286158572</v>
      </c>
      <c r="J34" s="52">
        <f t="shared" si="3"/>
        <v>45910.381026428666</v>
      </c>
      <c r="K34" s="63">
        <f t="shared" si="4"/>
        <v>44.525635336876242</v>
      </c>
      <c r="L34" s="64">
        <f t="shared" si="5"/>
        <v>2968.3756891250828</v>
      </c>
    </row>
    <row r="35" spans="1:12" x14ac:dyDescent="0.15">
      <c r="A35" s="8" t="s">
        <v>149</v>
      </c>
      <c r="B35" s="7">
        <v>45441</v>
      </c>
      <c r="C35" s="17">
        <v>36.869246143773097</v>
      </c>
      <c r="D35" s="17">
        <v>18.443143886975601</v>
      </c>
      <c r="E35" s="47">
        <v>23.201707830723599</v>
      </c>
      <c r="F35" s="55">
        <v>0.52643851536384734</v>
      </c>
      <c r="G35" s="60">
        <f t="shared" ref="G35:G66" si="6">(10^((D35-37.429)/-3.4921))/2</f>
        <v>136701.08482920495</v>
      </c>
      <c r="H35" s="53">
        <f t="shared" si="1"/>
        <v>22783514.138200823</v>
      </c>
      <c r="I35" s="50">
        <f t="shared" ref="I35:I66" si="7">(10^((E35-35.023)/-3.1786))/2</f>
        <v>2618.1515720802458</v>
      </c>
      <c r="J35" s="52">
        <f t="shared" si="3"/>
        <v>436358.59534670768</v>
      </c>
      <c r="K35" s="63">
        <f t="shared" si="4"/>
        <v>29.13491774172973</v>
      </c>
      <c r="L35" s="64">
        <f t="shared" si="5"/>
        <v>1942.3278494486487</v>
      </c>
    </row>
    <row r="36" spans="1:12" x14ac:dyDescent="0.15">
      <c r="A36" s="8" t="s">
        <v>150</v>
      </c>
      <c r="B36" s="7">
        <v>45448</v>
      </c>
      <c r="C36" s="17">
        <v>36.331684702487998</v>
      </c>
      <c r="D36" s="17">
        <v>17.768585132434001</v>
      </c>
      <c r="E36" s="47">
        <v>25.240156544702899</v>
      </c>
      <c r="F36" s="55">
        <v>0.61888458893575815</v>
      </c>
      <c r="G36" s="60">
        <f t="shared" si="6"/>
        <v>213274.55254184271</v>
      </c>
      <c r="H36" s="53">
        <f t="shared" si="1"/>
        <v>35545758.756973788</v>
      </c>
      <c r="I36" s="50">
        <f t="shared" si="7"/>
        <v>597.98576011368607</v>
      </c>
      <c r="J36" s="52">
        <f t="shared" si="3"/>
        <v>99664.293352281005</v>
      </c>
      <c r="K36" s="63">
        <f t="shared" si="4"/>
        <v>41.340804473792204</v>
      </c>
      <c r="L36" s="64">
        <f t="shared" si="5"/>
        <v>2756.0536315861473</v>
      </c>
    </row>
    <row r="37" spans="1:12" x14ac:dyDescent="0.15">
      <c r="A37" s="8" t="s">
        <v>151</v>
      </c>
      <c r="B37" s="7">
        <v>45452</v>
      </c>
      <c r="C37" s="17">
        <v>36.293804964462502</v>
      </c>
      <c r="D37" s="17">
        <v>17.8440484286794</v>
      </c>
      <c r="E37" s="47">
        <v>27.267761528689999</v>
      </c>
      <c r="F37" s="55">
        <v>0.50229871706246954</v>
      </c>
      <c r="G37" s="60">
        <f t="shared" si="6"/>
        <v>202922.08755390349</v>
      </c>
      <c r="H37" s="53">
        <f t="shared" si="1"/>
        <v>33820347.925650582</v>
      </c>
      <c r="I37" s="50">
        <f t="shared" si="7"/>
        <v>137.65702480687307</v>
      </c>
      <c r="J37" s="52">
        <f t="shared" si="3"/>
        <v>22942.83746781218</v>
      </c>
      <c r="K37" s="63">
        <f t="shared" si="4"/>
        <v>42.372811340246777</v>
      </c>
      <c r="L37" s="64">
        <f t="shared" si="5"/>
        <v>2824.8540893497852</v>
      </c>
    </row>
    <row r="38" spans="1:12" x14ac:dyDescent="0.15">
      <c r="A38" s="8" t="s">
        <v>152</v>
      </c>
      <c r="B38" s="7">
        <v>45455</v>
      </c>
      <c r="C38" s="17">
        <v>37.443659160586797</v>
      </c>
      <c r="D38" s="17">
        <v>17.524762568956799</v>
      </c>
      <c r="E38" s="47">
        <v>23.0364524091801</v>
      </c>
      <c r="F38" s="55">
        <v>0.82054514921828559</v>
      </c>
      <c r="G38" s="60">
        <f t="shared" si="6"/>
        <v>250472.60085450031</v>
      </c>
      <c r="H38" s="53">
        <f t="shared" si="1"/>
        <v>41745433.475750051</v>
      </c>
      <c r="I38" s="50">
        <f t="shared" si="7"/>
        <v>2951.105855551697</v>
      </c>
      <c r="J38" s="52">
        <f t="shared" si="3"/>
        <v>491850.97592528281</v>
      </c>
      <c r="K38" s="63">
        <f t="shared" si="4"/>
        <v>20.046149640886789</v>
      </c>
      <c r="L38" s="64">
        <f t="shared" si="5"/>
        <v>1336.4099760591193</v>
      </c>
    </row>
    <row r="39" spans="1:12" x14ac:dyDescent="0.15">
      <c r="A39" s="8" t="s">
        <v>153</v>
      </c>
      <c r="B39" s="7">
        <v>45459</v>
      </c>
      <c r="C39" s="17">
        <v>35.053062589903</v>
      </c>
      <c r="D39" s="17">
        <v>18.4255013224465</v>
      </c>
      <c r="E39" s="47">
        <v>25.365492792098301</v>
      </c>
      <c r="F39" s="55">
        <v>0.13620053114777242</v>
      </c>
      <c r="G39" s="60">
        <f t="shared" si="6"/>
        <v>138300.61048164446</v>
      </c>
      <c r="H39" s="53">
        <f t="shared" si="1"/>
        <v>23050101.746940743</v>
      </c>
      <c r="I39" s="50">
        <f t="shared" si="7"/>
        <v>546.08414606357508</v>
      </c>
      <c r="J39" s="52">
        <f t="shared" si="3"/>
        <v>91014.024343929181</v>
      </c>
      <c r="K39" s="63">
        <f t="shared" si="4"/>
        <v>95.024827188614125</v>
      </c>
      <c r="L39" s="64">
        <f t="shared" si="5"/>
        <v>6334.9884792409421</v>
      </c>
    </row>
    <row r="40" spans="1:12" x14ac:dyDescent="0.15">
      <c r="A40" s="16" t="s">
        <v>21</v>
      </c>
      <c r="B40" s="7">
        <v>45462</v>
      </c>
      <c r="C40" s="18">
        <v>37.7844659144357</v>
      </c>
      <c r="D40" s="17">
        <v>16.4464300912379</v>
      </c>
      <c r="E40" s="47">
        <v>24.029745111136901</v>
      </c>
      <c r="F40" s="55">
        <v>0.68535883559256572</v>
      </c>
      <c r="G40" s="60">
        <f t="shared" si="6"/>
        <v>509978.89860391041</v>
      </c>
      <c r="H40" s="53">
        <f t="shared" si="1"/>
        <v>84996483.100651741</v>
      </c>
      <c r="I40" s="50">
        <f t="shared" si="7"/>
        <v>1437.1133255493901</v>
      </c>
      <c r="J40" s="52">
        <f t="shared" si="3"/>
        <v>239518.887591565</v>
      </c>
      <c r="K40" s="63">
        <f t="shared" si="4"/>
        <v>16.057839494669686</v>
      </c>
      <c r="L40" s="64">
        <f t="shared" si="5"/>
        <v>1070.5226329779791</v>
      </c>
    </row>
    <row r="41" spans="1:12" x14ac:dyDescent="0.15">
      <c r="A41" s="16" t="s">
        <v>22</v>
      </c>
      <c r="B41" s="7">
        <v>45466</v>
      </c>
      <c r="C41" s="18">
        <v>39.473259297560801</v>
      </c>
      <c r="D41" s="17">
        <v>15.8426525180894</v>
      </c>
      <c r="E41" s="47">
        <v>21.369361927131798</v>
      </c>
      <c r="F41" s="55">
        <v>0.84829339618705424</v>
      </c>
      <c r="G41" s="60">
        <f t="shared" si="6"/>
        <v>759364.58798533992</v>
      </c>
      <c r="H41" s="53">
        <f t="shared" si="1"/>
        <v>126560764.66422333</v>
      </c>
      <c r="I41" s="50">
        <f t="shared" si="7"/>
        <v>9873.2009863417188</v>
      </c>
      <c r="J41" s="52">
        <f t="shared" si="3"/>
        <v>1645533.4977236199</v>
      </c>
      <c r="K41" s="63">
        <f t="shared" si="4"/>
        <v>5.34904429326056</v>
      </c>
      <c r="L41" s="64">
        <f t="shared" si="5"/>
        <v>356.60295288403739</v>
      </c>
    </row>
    <row r="42" spans="1:12" x14ac:dyDescent="0.15">
      <c r="A42" s="8" t="s">
        <v>154</v>
      </c>
      <c r="B42" s="7">
        <v>45469</v>
      </c>
      <c r="C42" s="17">
        <v>33.817128359210301</v>
      </c>
      <c r="D42" s="17">
        <v>17.1270629565734</v>
      </c>
      <c r="E42" s="47">
        <v>22.483483315115301</v>
      </c>
      <c r="F42" s="55">
        <v>0.34684601353099964</v>
      </c>
      <c r="G42" s="60">
        <f t="shared" si="6"/>
        <v>325571.02136900637</v>
      </c>
      <c r="H42" s="53">
        <f t="shared" si="1"/>
        <v>54261836.894834399</v>
      </c>
      <c r="I42" s="50">
        <f t="shared" si="7"/>
        <v>4405.0518935144864</v>
      </c>
      <c r="J42" s="52">
        <f t="shared" si="3"/>
        <v>734175.31558574783</v>
      </c>
      <c r="K42" s="63">
        <f t="shared" si="4"/>
        <v>212.43578041317588</v>
      </c>
      <c r="L42" s="64">
        <f t="shared" si="5"/>
        <v>14162.385360878392</v>
      </c>
    </row>
    <row r="43" spans="1:12" x14ac:dyDescent="0.15">
      <c r="A43" s="16" t="s">
        <v>23</v>
      </c>
      <c r="B43" s="7">
        <v>45473</v>
      </c>
      <c r="C43" s="19">
        <v>40</v>
      </c>
      <c r="D43" s="17">
        <v>16.339544413576299</v>
      </c>
      <c r="E43" s="47">
        <v>21.248452375654999</v>
      </c>
      <c r="F43" s="55">
        <v>0.89116063895348907</v>
      </c>
      <c r="G43" s="60">
        <f t="shared" si="6"/>
        <v>547217.6012390973</v>
      </c>
      <c r="H43" s="53">
        <f t="shared" si="1"/>
        <v>91202933.53984955</v>
      </c>
      <c r="I43" s="50">
        <f t="shared" si="7"/>
        <v>10776.968067379365</v>
      </c>
      <c r="J43" s="52">
        <f t="shared" si="3"/>
        <v>1796161.3445632276</v>
      </c>
      <c r="K43" s="63">
        <f t="shared" si="4"/>
        <v>3.7963829950038126</v>
      </c>
      <c r="L43" s="64">
        <f t="shared" si="5"/>
        <v>253.09219966692083</v>
      </c>
    </row>
    <row r="44" spans="1:12" x14ac:dyDescent="0.15">
      <c r="A44" s="16" t="s">
        <v>24</v>
      </c>
      <c r="B44" s="20" t="s">
        <v>25</v>
      </c>
      <c r="C44" s="17">
        <v>36.135970492812</v>
      </c>
      <c r="D44" s="17">
        <v>16.156192391999301</v>
      </c>
      <c r="E44" s="47">
        <v>22.004955960622802</v>
      </c>
      <c r="F44" s="56">
        <v>0.95249260156963711</v>
      </c>
      <c r="G44" s="60">
        <f t="shared" si="6"/>
        <v>617539.66907195491</v>
      </c>
      <c r="H44" s="53">
        <f t="shared" si="1"/>
        <v>102923278.17865916</v>
      </c>
      <c r="I44" s="50">
        <f t="shared" si="7"/>
        <v>6230.1371525967697</v>
      </c>
      <c r="J44" s="52">
        <f t="shared" si="3"/>
        <v>1038356.1920994618</v>
      </c>
      <c r="K44" s="63">
        <f t="shared" si="4"/>
        <v>46.957618074760269</v>
      </c>
      <c r="L44" s="64">
        <f t="shared" si="5"/>
        <v>3130.5078716506846</v>
      </c>
    </row>
    <row r="45" spans="1:12" x14ac:dyDescent="0.15">
      <c r="A45" s="16" t="s">
        <v>26</v>
      </c>
      <c r="B45" s="21">
        <v>45480</v>
      </c>
      <c r="C45" s="17">
        <v>37.3079857315631</v>
      </c>
      <c r="D45" s="17">
        <v>16.764612970318499</v>
      </c>
      <c r="E45" s="47">
        <v>24.300758640678001</v>
      </c>
      <c r="F45" s="56">
        <v>0.78674025941011805</v>
      </c>
      <c r="G45" s="60">
        <f t="shared" si="6"/>
        <v>413463.47743882576</v>
      </c>
      <c r="H45" s="53">
        <f t="shared" si="1"/>
        <v>68910579.573137626</v>
      </c>
      <c r="I45" s="50">
        <f t="shared" si="7"/>
        <v>1180.9434434575612</v>
      </c>
      <c r="J45" s="52">
        <f t="shared" si="3"/>
        <v>196823.90724292689</v>
      </c>
      <c r="K45" s="63">
        <f t="shared" si="4"/>
        <v>21.897017475666313</v>
      </c>
      <c r="L45" s="64">
        <f t="shared" si="5"/>
        <v>1459.8011650444209</v>
      </c>
    </row>
    <row r="46" spans="1:12" x14ac:dyDescent="0.15">
      <c r="A46" s="16" t="s">
        <v>27</v>
      </c>
      <c r="B46" s="21">
        <v>45483</v>
      </c>
      <c r="C46" s="17">
        <v>36.231310527574401</v>
      </c>
      <c r="D46" s="17">
        <v>16.605193396494499</v>
      </c>
      <c r="E46" s="47">
        <v>21.627941203487801</v>
      </c>
      <c r="F46" s="56">
        <v>0.77320726714036969</v>
      </c>
      <c r="G46" s="60">
        <f t="shared" si="6"/>
        <v>459291.7500573172</v>
      </c>
      <c r="H46" s="53">
        <f t="shared" si="1"/>
        <v>76548625.009552866</v>
      </c>
      <c r="I46" s="50">
        <f t="shared" si="7"/>
        <v>8186.6820834661858</v>
      </c>
      <c r="J46" s="52">
        <f t="shared" si="3"/>
        <v>1364447.013911031</v>
      </c>
      <c r="K46" s="63">
        <f t="shared" si="4"/>
        <v>44.13204483713011</v>
      </c>
      <c r="L46" s="64">
        <f t="shared" si="5"/>
        <v>2942.1363224753409</v>
      </c>
    </row>
    <row r="47" spans="1:12" x14ac:dyDescent="0.15">
      <c r="A47" s="16" t="s">
        <v>28</v>
      </c>
      <c r="B47" s="21">
        <v>45484</v>
      </c>
      <c r="C47" s="17">
        <v>30.211532352484902</v>
      </c>
      <c r="D47" s="17">
        <v>17.122174698593099</v>
      </c>
      <c r="E47" s="47">
        <v>22.8368601874562</v>
      </c>
      <c r="F47" s="56">
        <v>0.79955731553927589</v>
      </c>
      <c r="G47" s="60">
        <f t="shared" si="6"/>
        <v>326622.08489938796</v>
      </c>
      <c r="H47" s="53">
        <f t="shared" si="1"/>
        <v>54437014.149897993</v>
      </c>
      <c r="I47" s="50">
        <f t="shared" si="7"/>
        <v>3410.1798343333071</v>
      </c>
      <c r="J47" s="52">
        <f t="shared" si="3"/>
        <v>568363.30572221789</v>
      </c>
      <c r="K47" s="63">
        <f t="shared" si="4"/>
        <v>2220.7835639774439</v>
      </c>
      <c r="L47" s="64">
        <f t="shared" si="5"/>
        <v>148052.23759849626</v>
      </c>
    </row>
    <row r="48" spans="1:12" x14ac:dyDescent="0.15">
      <c r="A48" s="16" t="s">
        <v>29</v>
      </c>
      <c r="B48" s="21">
        <v>45490</v>
      </c>
      <c r="C48" s="17">
        <v>33.843644089903101</v>
      </c>
      <c r="D48" s="17">
        <v>16.3507553543357</v>
      </c>
      <c r="E48" s="47">
        <v>21.583166014623799</v>
      </c>
      <c r="F48" s="56">
        <v>0.79242317965848852</v>
      </c>
      <c r="G48" s="60">
        <f t="shared" si="6"/>
        <v>543187.39811429323</v>
      </c>
      <c r="H48" s="53">
        <f t="shared" si="1"/>
        <v>90531233.01904887</v>
      </c>
      <c r="I48" s="50">
        <f t="shared" si="7"/>
        <v>8456.5724752103852</v>
      </c>
      <c r="J48" s="52">
        <f t="shared" si="3"/>
        <v>1409428.7458683976</v>
      </c>
      <c r="K48" s="63">
        <f t="shared" si="4"/>
        <v>208.80064777949391</v>
      </c>
      <c r="L48" s="64">
        <f t="shared" si="5"/>
        <v>13920.043185299595</v>
      </c>
    </row>
    <row r="49" spans="1:12" x14ac:dyDescent="0.15">
      <c r="A49" s="16" t="s">
        <v>30</v>
      </c>
      <c r="B49" s="21">
        <v>45494</v>
      </c>
      <c r="C49" s="17">
        <v>34.317101006452603</v>
      </c>
      <c r="D49" s="17">
        <v>17.1255072248427</v>
      </c>
      <c r="E49" s="47">
        <v>22.516314430924702</v>
      </c>
      <c r="F49" s="56">
        <v>0.91517282022246527</v>
      </c>
      <c r="G49" s="60">
        <f t="shared" si="6"/>
        <v>325905.16426928871</v>
      </c>
      <c r="H49" s="53">
        <f t="shared" si="1"/>
        <v>54317527.378214784</v>
      </c>
      <c r="I49" s="50">
        <f t="shared" si="7"/>
        <v>4301.5228222106853</v>
      </c>
      <c r="J49" s="52">
        <f t="shared" si="3"/>
        <v>716920.4703684476</v>
      </c>
      <c r="K49" s="63">
        <f t="shared" si="4"/>
        <v>153.42235581266357</v>
      </c>
      <c r="L49" s="64">
        <f t="shared" si="5"/>
        <v>10228.157054177571</v>
      </c>
    </row>
    <row r="50" spans="1:12" x14ac:dyDescent="0.15">
      <c r="A50" s="8" t="s">
        <v>155</v>
      </c>
      <c r="B50" s="7">
        <v>45497</v>
      </c>
      <c r="C50" s="17">
        <v>35.418199283548901</v>
      </c>
      <c r="D50" s="17">
        <v>18.196147894591899</v>
      </c>
      <c r="E50" s="47">
        <v>24.779973094623202</v>
      </c>
      <c r="F50" s="55">
        <v>0.33020890431562766</v>
      </c>
      <c r="G50" s="60">
        <f t="shared" si="6"/>
        <v>160879.93871204869</v>
      </c>
      <c r="H50" s="53">
        <f t="shared" si="1"/>
        <v>26813323.118674785</v>
      </c>
      <c r="I50" s="50">
        <f t="shared" si="7"/>
        <v>834.57689382162857</v>
      </c>
      <c r="J50" s="52">
        <f t="shared" si="3"/>
        <v>139096.14897027143</v>
      </c>
      <c r="K50" s="63">
        <f t="shared" si="4"/>
        <v>74.923027349063346</v>
      </c>
      <c r="L50" s="64">
        <f t="shared" si="5"/>
        <v>4994.8684899375567</v>
      </c>
    </row>
    <row r="51" spans="1:12" x14ac:dyDescent="0.15">
      <c r="A51" s="16" t="s">
        <v>31</v>
      </c>
      <c r="B51" s="21">
        <v>45501</v>
      </c>
      <c r="C51" s="17">
        <v>34.823170341262497</v>
      </c>
      <c r="D51" s="17">
        <v>17.402609277812299</v>
      </c>
      <c r="E51" s="47">
        <v>20.514003701208299</v>
      </c>
      <c r="F51" s="56">
        <v>0.871640143822351</v>
      </c>
      <c r="G51" s="60">
        <f t="shared" si="6"/>
        <v>271481.42514895153</v>
      </c>
      <c r="H51" s="53">
        <f t="shared" si="1"/>
        <v>45246904.191491924</v>
      </c>
      <c r="I51" s="50">
        <f t="shared" si="7"/>
        <v>18346.660452066866</v>
      </c>
      <c r="J51" s="52">
        <f t="shared" si="3"/>
        <v>3057776.7420111448</v>
      </c>
      <c r="K51" s="63">
        <f t="shared" si="4"/>
        <v>110.3636699414503</v>
      </c>
      <c r="L51" s="64">
        <f t="shared" si="5"/>
        <v>7357.5779960966875</v>
      </c>
    </row>
    <row r="52" spans="1:12" x14ac:dyDescent="0.15">
      <c r="A52" s="16" t="s">
        <v>32</v>
      </c>
      <c r="B52" s="21">
        <v>45508</v>
      </c>
      <c r="C52" s="17">
        <v>37.289078734720597</v>
      </c>
      <c r="D52" s="17">
        <v>17.616157902969402</v>
      </c>
      <c r="E52" s="47">
        <v>24.292621653896699</v>
      </c>
      <c r="F52" s="56">
        <v>0.78678350402076147</v>
      </c>
      <c r="G52" s="60">
        <f t="shared" si="6"/>
        <v>235824.10715144989</v>
      </c>
      <c r="H52" s="53">
        <f t="shared" si="1"/>
        <v>39304017.858574979</v>
      </c>
      <c r="I52" s="50">
        <f t="shared" si="7"/>
        <v>1187.9250137038641</v>
      </c>
      <c r="J52" s="52">
        <f t="shared" si="3"/>
        <v>197987.50228397734</v>
      </c>
      <c r="K52" s="63">
        <f t="shared" si="4"/>
        <v>22.168170352982759</v>
      </c>
      <c r="L52" s="64">
        <f t="shared" si="5"/>
        <v>1477.878023532184</v>
      </c>
    </row>
    <row r="53" spans="1:12" x14ac:dyDescent="0.15">
      <c r="A53" s="16" t="s">
        <v>33</v>
      </c>
      <c r="B53" s="21">
        <v>45511</v>
      </c>
      <c r="C53" s="17">
        <v>36.809118979060003</v>
      </c>
      <c r="D53" s="17">
        <v>16.845636005265298</v>
      </c>
      <c r="E53" s="47">
        <v>21.276153670663</v>
      </c>
      <c r="F53" s="56">
        <v>0.94450193313427511</v>
      </c>
      <c r="G53" s="60">
        <f t="shared" si="6"/>
        <v>391954.21993896773</v>
      </c>
      <c r="H53" s="53">
        <f t="shared" si="1"/>
        <v>65325703.323161297</v>
      </c>
      <c r="I53" s="50">
        <f t="shared" si="7"/>
        <v>10562.863320119846</v>
      </c>
      <c r="J53" s="52">
        <f t="shared" si="3"/>
        <v>1760477.2200199745</v>
      </c>
      <c r="K53" s="63">
        <f t="shared" si="4"/>
        <v>30.297818186957876</v>
      </c>
      <c r="L53" s="64">
        <f t="shared" si="5"/>
        <v>2019.8545457971918</v>
      </c>
    </row>
    <row r="54" spans="1:12" x14ac:dyDescent="0.15">
      <c r="A54" s="16" t="s">
        <v>34</v>
      </c>
      <c r="B54" s="20" t="s">
        <v>35</v>
      </c>
      <c r="C54" s="17">
        <v>38.214472500033999</v>
      </c>
      <c r="D54" s="17">
        <v>18.0226333717779</v>
      </c>
      <c r="E54" s="47">
        <v>23.106799799798399</v>
      </c>
      <c r="F54" s="56">
        <v>0.8601745115863052</v>
      </c>
      <c r="G54" s="60">
        <f t="shared" si="6"/>
        <v>180380.51494160987</v>
      </c>
      <c r="H54" s="53">
        <f t="shared" si="1"/>
        <v>30063419.15693498</v>
      </c>
      <c r="I54" s="50">
        <f t="shared" si="7"/>
        <v>2804.4856582313651</v>
      </c>
      <c r="J54" s="52">
        <f t="shared" si="3"/>
        <v>467414.27637189417</v>
      </c>
      <c r="K54" s="63">
        <f t="shared" si="4"/>
        <v>12.137438555010448</v>
      </c>
      <c r="L54" s="64">
        <f t="shared" si="5"/>
        <v>809.16257033402985</v>
      </c>
    </row>
    <row r="55" spans="1:12" x14ac:dyDescent="0.15">
      <c r="A55" s="16" t="s">
        <v>36</v>
      </c>
      <c r="B55" s="21">
        <v>45515</v>
      </c>
      <c r="C55" s="17">
        <v>38.126559491449498</v>
      </c>
      <c r="D55" s="17">
        <v>17.958267996477002</v>
      </c>
      <c r="E55" s="47">
        <v>21.795647724228299</v>
      </c>
      <c r="F55" s="56">
        <v>0.90983148932892166</v>
      </c>
      <c r="G55" s="60">
        <f t="shared" si="6"/>
        <v>188200.74255597455</v>
      </c>
      <c r="H55" s="53">
        <f t="shared" si="1"/>
        <v>31366790.425995756</v>
      </c>
      <c r="I55" s="50">
        <f t="shared" si="7"/>
        <v>7250.1467603459996</v>
      </c>
      <c r="J55" s="52">
        <f t="shared" si="3"/>
        <v>1208357.793391</v>
      </c>
      <c r="K55" s="63">
        <f t="shared" si="4"/>
        <v>12.852259350351634</v>
      </c>
      <c r="L55" s="64">
        <f t="shared" si="5"/>
        <v>856.8172900234423</v>
      </c>
    </row>
    <row r="56" spans="1:12" x14ac:dyDescent="0.15">
      <c r="A56" s="16" t="s">
        <v>37</v>
      </c>
      <c r="B56" s="20" t="s">
        <v>38</v>
      </c>
      <c r="C56" s="17">
        <v>38.280502717164602</v>
      </c>
      <c r="D56" s="17">
        <v>18.050851082411398</v>
      </c>
      <c r="E56" s="47">
        <v>24.484480478832602</v>
      </c>
      <c r="F56" s="56">
        <v>0.9192676416046075</v>
      </c>
      <c r="G56" s="60">
        <f t="shared" si="6"/>
        <v>177055.40156245077</v>
      </c>
      <c r="H56" s="53">
        <f t="shared" si="1"/>
        <v>29509233.593741801</v>
      </c>
      <c r="I56" s="50">
        <f t="shared" si="7"/>
        <v>1033.7832472203374</v>
      </c>
      <c r="J56" s="52">
        <f t="shared" si="3"/>
        <v>172297.20787005627</v>
      </c>
      <c r="K56" s="63">
        <f t="shared" si="4"/>
        <v>11.626814160887673</v>
      </c>
      <c r="L56" s="64">
        <f t="shared" si="5"/>
        <v>775.12094405917821</v>
      </c>
    </row>
    <row r="57" spans="1:12" x14ac:dyDescent="0.15">
      <c r="A57" s="8" t="s">
        <v>39</v>
      </c>
      <c r="B57" s="7">
        <v>45525</v>
      </c>
      <c r="C57" s="17">
        <v>35.318757467421896</v>
      </c>
      <c r="D57" s="17">
        <v>18.932111271064699</v>
      </c>
      <c r="E57" s="47">
        <v>26.945665020363801</v>
      </c>
      <c r="F57" s="56">
        <v>0.67920298018596503</v>
      </c>
      <c r="G57" s="60">
        <f t="shared" si="6"/>
        <v>99026.389901097602</v>
      </c>
      <c r="H57" s="53">
        <f t="shared" si="1"/>
        <v>16504398.316849601</v>
      </c>
      <c r="I57" s="50">
        <f t="shared" si="7"/>
        <v>173.83259001365121</v>
      </c>
      <c r="J57" s="52">
        <f t="shared" si="3"/>
        <v>28972.098335608534</v>
      </c>
      <c r="K57" s="63">
        <f t="shared" si="4"/>
        <v>79.933139817425001</v>
      </c>
      <c r="L57" s="64">
        <f t="shared" si="5"/>
        <v>5328.8759878283336</v>
      </c>
    </row>
    <row r="58" spans="1:12" x14ac:dyDescent="0.15">
      <c r="A58" s="16" t="s">
        <v>39</v>
      </c>
      <c r="B58" s="21">
        <v>45525</v>
      </c>
      <c r="C58" s="17">
        <v>36.364913500069903</v>
      </c>
      <c r="D58" s="17">
        <v>17.140699861261702</v>
      </c>
      <c r="E58" s="47">
        <v>23.869972156153398</v>
      </c>
      <c r="F58" s="55">
        <v>0.48872919730305386</v>
      </c>
      <c r="G58" s="60">
        <f t="shared" si="6"/>
        <v>322656.68624329712</v>
      </c>
      <c r="H58" s="53">
        <f t="shared" si="1"/>
        <v>53776114.373882852</v>
      </c>
      <c r="I58" s="50">
        <f t="shared" si="7"/>
        <v>1613.4526077413138</v>
      </c>
      <c r="J58" s="52">
        <f t="shared" si="3"/>
        <v>268908.76795688568</v>
      </c>
      <c r="K58" s="63">
        <f t="shared" si="4"/>
        <v>40.456225219003457</v>
      </c>
      <c r="L58" s="64">
        <f t="shared" si="5"/>
        <v>2697.0816812668972</v>
      </c>
    </row>
    <row r="59" spans="1:12" x14ac:dyDescent="0.15">
      <c r="A59" s="16" t="s">
        <v>40</v>
      </c>
      <c r="B59" s="20" t="s">
        <v>41</v>
      </c>
      <c r="C59" s="17">
        <v>35.247330200967198</v>
      </c>
      <c r="D59" s="17">
        <v>16.363210918195001</v>
      </c>
      <c r="E59" s="47">
        <v>22.5482319023629</v>
      </c>
      <c r="F59" s="56">
        <v>0.48451889177454477</v>
      </c>
      <c r="G59" s="60">
        <f t="shared" si="6"/>
        <v>538744.56577511434</v>
      </c>
      <c r="H59" s="53">
        <f t="shared" si="1"/>
        <v>89790760.962519065</v>
      </c>
      <c r="I59" s="50">
        <f t="shared" si="7"/>
        <v>4203.2078835979828</v>
      </c>
      <c r="J59" s="52">
        <f t="shared" si="3"/>
        <v>700534.64726633043</v>
      </c>
      <c r="K59" s="63">
        <f t="shared" si="4"/>
        <v>83.73728907172098</v>
      </c>
      <c r="L59" s="64">
        <f t="shared" si="5"/>
        <v>5582.4859381147317</v>
      </c>
    </row>
    <row r="60" spans="1:12" x14ac:dyDescent="0.15">
      <c r="A60" s="16" t="s">
        <v>42</v>
      </c>
      <c r="B60" s="20" t="s">
        <v>43</v>
      </c>
      <c r="C60" s="17">
        <v>39.1972684626842</v>
      </c>
      <c r="D60" s="17">
        <v>17.8883295418361</v>
      </c>
      <c r="E60" s="47">
        <v>21.989645717788001</v>
      </c>
      <c r="F60" s="56">
        <v>0.95939763892934715</v>
      </c>
      <c r="G60" s="60">
        <f t="shared" si="6"/>
        <v>197082.90422542326</v>
      </c>
      <c r="H60" s="53">
        <f t="shared" si="1"/>
        <v>32847150.704237211</v>
      </c>
      <c r="I60" s="50">
        <f t="shared" si="7"/>
        <v>6299.6187913980984</v>
      </c>
      <c r="J60" s="52">
        <f t="shared" si="3"/>
        <v>1049936.4652330165</v>
      </c>
      <c r="K60" s="63">
        <f t="shared" si="4"/>
        <v>6.4017249422316578</v>
      </c>
      <c r="L60" s="64">
        <f t="shared" si="5"/>
        <v>426.78166281544389</v>
      </c>
    </row>
    <row r="61" spans="1:12" x14ac:dyDescent="0.15">
      <c r="A61" s="16" t="s">
        <v>44</v>
      </c>
      <c r="B61" s="20" t="s">
        <v>45</v>
      </c>
      <c r="C61" s="17">
        <v>37.297007135722403</v>
      </c>
      <c r="D61" s="17">
        <v>16.820762904327101</v>
      </c>
      <c r="E61" s="47">
        <v>21.6999967905451</v>
      </c>
      <c r="F61" s="56">
        <v>0.53640280450740097</v>
      </c>
      <c r="G61" s="60">
        <f t="shared" si="6"/>
        <v>398435.49569817475</v>
      </c>
      <c r="H61" s="53">
        <f t="shared" si="1"/>
        <v>66405915.949695796</v>
      </c>
      <c r="I61" s="50">
        <f t="shared" si="7"/>
        <v>7770.3209208894095</v>
      </c>
      <c r="J61" s="52">
        <f t="shared" si="3"/>
        <v>1295053.4868149015</v>
      </c>
      <c r="K61" s="63">
        <f t="shared" si="4"/>
        <v>22.054059538996661</v>
      </c>
      <c r="L61" s="64">
        <f t="shared" si="5"/>
        <v>1470.2706359331107</v>
      </c>
    </row>
    <row r="62" spans="1:12" x14ac:dyDescent="0.15">
      <c r="A62" s="16" t="s">
        <v>46</v>
      </c>
      <c r="B62" s="21">
        <v>45543</v>
      </c>
      <c r="C62" s="17">
        <v>28.805827099077899</v>
      </c>
      <c r="D62" s="17">
        <v>17.287817514831101</v>
      </c>
      <c r="E62" s="47">
        <v>23.061196926114299</v>
      </c>
      <c r="F62" s="56">
        <v>0.2740299567764658</v>
      </c>
      <c r="G62" s="60">
        <f t="shared" si="6"/>
        <v>292827.56987801945</v>
      </c>
      <c r="H62" s="53">
        <f t="shared" si="1"/>
        <v>48804594.979669914</v>
      </c>
      <c r="I62" s="50">
        <f t="shared" si="7"/>
        <v>2898.6786112709347</v>
      </c>
      <c r="J62" s="52">
        <f t="shared" si="3"/>
        <v>483113.10187848919</v>
      </c>
      <c r="K62" s="63">
        <f t="shared" si="4"/>
        <v>5544.8522442533977</v>
      </c>
      <c r="L62" s="64">
        <f t="shared" si="5"/>
        <v>369656.81628355983</v>
      </c>
    </row>
    <row r="63" spans="1:12" x14ac:dyDescent="0.15">
      <c r="A63" s="16" t="s">
        <v>47</v>
      </c>
      <c r="B63" s="21">
        <v>45546</v>
      </c>
      <c r="C63" s="17">
        <v>37.147685433063103</v>
      </c>
      <c r="D63" s="17">
        <v>16.8054349108879</v>
      </c>
      <c r="E63" s="47">
        <v>20.645754054375999</v>
      </c>
      <c r="F63" s="56">
        <v>0.83808926231189729</v>
      </c>
      <c r="G63" s="60">
        <f t="shared" si="6"/>
        <v>402482.82797140273</v>
      </c>
      <c r="H63" s="53">
        <f t="shared" si="1"/>
        <v>67080471.328567117</v>
      </c>
      <c r="I63" s="50">
        <f t="shared" si="7"/>
        <v>16676.61284994581</v>
      </c>
      <c r="J63" s="52">
        <f t="shared" si="3"/>
        <v>2779435.4749909686</v>
      </c>
      <c r="K63" s="63">
        <f t="shared" si="4"/>
        <v>24.305290601616168</v>
      </c>
      <c r="L63" s="64">
        <f t="shared" si="5"/>
        <v>1620.3527067744112</v>
      </c>
    </row>
    <row r="64" spans="1:12" x14ac:dyDescent="0.15">
      <c r="A64" s="16" t="s">
        <v>48</v>
      </c>
      <c r="B64" s="21">
        <v>45550</v>
      </c>
      <c r="C64" s="17">
        <v>34.441804799213003</v>
      </c>
      <c r="D64" s="17">
        <v>16.070481623272901</v>
      </c>
      <c r="E64" s="47">
        <v>22.628355321676199</v>
      </c>
      <c r="F64" s="56">
        <v>0.69608647466179097</v>
      </c>
      <c r="G64" s="60">
        <f t="shared" si="6"/>
        <v>653445.01856424927</v>
      </c>
      <c r="H64" s="53">
        <f t="shared" si="1"/>
        <v>108907503.09404156</v>
      </c>
      <c r="I64" s="50">
        <f t="shared" si="7"/>
        <v>3966.1919498837556</v>
      </c>
      <c r="J64" s="52">
        <f t="shared" si="3"/>
        <v>661031.99164729263</v>
      </c>
      <c r="K64" s="63">
        <f t="shared" si="4"/>
        <v>141.46066488212927</v>
      </c>
      <c r="L64" s="64">
        <f t="shared" si="5"/>
        <v>9430.7109921419524</v>
      </c>
    </row>
    <row r="65" spans="1:12" x14ac:dyDescent="0.15">
      <c r="A65" s="16" t="s">
        <v>49</v>
      </c>
      <c r="B65" s="20" t="s">
        <v>50</v>
      </c>
      <c r="C65" s="17">
        <v>35.437690584596297</v>
      </c>
      <c r="D65" s="17">
        <v>15.783472029918199</v>
      </c>
      <c r="E65" s="47">
        <v>21.1745027454098</v>
      </c>
      <c r="F65" s="56">
        <v>0.72376616911985647</v>
      </c>
      <c r="G65" s="60">
        <f t="shared" si="6"/>
        <v>789582.11617694818</v>
      </c>
      <c r="H65" s="53">
        <f t="shared" si="1"/>
        <v>131597019.36282471</v>
      </c>
      <c r="I65" s="50">
        <f t="shared" si="7"/>
        <v>11370.025510931173</v>
      </c>
      <c r="J65" s="52">
        <f t="shared" si="3"/>
        <v>1895004.2518218623</v>
      </c>
      <c r="K65" s="63">
        <f t="shared" si="4"/>
        <v>73.978454311879034</v>
      </c>
      <c r="L65" s="64">
        <f t="shared" si="5"/>
        <v>4931.8969541252691</v>
      </c>
    </row>
    <row r="66" spans="1:12" x14ac:dyDescent="0.15">
      <c r="A66" s="16" t="s">
        <v>51</v>
      </c>
      <c r="B66" s="21">
        <v>45557</v>
      </c>
      <c r="C66" s="8">
        <v>40</v>
      </c>
      <c r="D66" s="17">
        <v>16.788770478053902</v>
      </c>
      <c r="E66" s="47">
        <v>24.2212648712425</v>
      </c>
      <c r="F66" s="56">
        <v>0.89400891397170412</v>
      </c>
      <c r="G66" s="60">
        <f t="shared" si="6"/>
        <v>406929.70493681834</v>
      </c>
      <c r="H66" s="53">
        <f t="shared" si="1"/>
        <v>67821617.489469722</v>
      </c>
      <c r="I66" s="50">
        <f t="shared" si="7"/>
        <v>1250.9448119308508</v>
      </c>
      <c r="J66" s="52">
        <f t="shared" si="3"/>
        <v>208490.80198847514</v>
      </c>
      <c r="K66" s="63">
        <f t="shared" si="4"/>
        <v>3.7963829950038126</v>
      </c>
      <c r="L66" s="64">
        <f t="shared" si="5"/>
        <v>253.09219966692083</v>
      </c>
    </row>
    <row r="67" spans="1:12" x14ac:dyDescent="0.15">
      <c r="A67" s="8" t="s">
        <v>156</v>
      </c>
      <c r="B67" s="7">
        <v>45560</v>
      </c>
      <c r="C67" s="17">
        <v>36.701249424091003</v>
      </c>
      <c r="D67" s="17">
        <v>19.117586054767099</v>
      </c>
      <c r="E67" s="47">
        <v>26.2127646425146</v>
      </c>
      <c r="F67" s="55">
        <v>0.54443051730969594</v>
      </c>
      <c r="G67" s="60">
        <f t="shared" ref="G67:G103" si="8">(10^((D67-37.429)/-3.4921))/2</f>
        <v>87627.065585461649</v>
      </c>
      <c r="H67" s="53">
        <f t="shared" si="1"/>
        <v>14604510.930910276</v>
      </c>
      <c r="I67" s="50">
        <f t="shared" ref="I67:I103" si="9">(10^((E67-35.023)/-3.1786))/2</f>
        <v>295.60006701324664</v>
      </c>
      <c r="J67" s="52">
        <f t="shared" si="3"/>
        <v>49266.677835541115</v>
      </c>
      <c r="K67" s="63">
        <f t="shared" si="4"/>
        <v>32.501647630725586</v>
      </c>
      <c r="L67" s="64">
        <f t="shared" si="5"/>
        <v>2166.7765087150392</v>
      </c>
    </row>
    <row r="68" spans="1:12" x14ac:dyDescent="0.15">
      <c r="A68" s="16" t="s">
        <v>52</v>
      </c>
      <c r="B68" s="21">
        <v>45564</v>
      </c>
      <c r="C68" s="17">
        <v>39.388130882947799</v>
      </c>
      <c r="D68" s="17">
        <v>15.7546196836512</v>
      </c>
      <c r="E68" s="47">
        <v>21.573142450622701</v>
      </c>
      <c r="F68" s="56">
        <v>0.94071001918633557</v>
      </c>
      <c r="G68" s="60">
        <f t="shared" si="8"/>
        <v>804747.20971082139</v>
      </c>
      <c r="H68" s="53">
        <f t="shared" ref="H68:H103" si="10">G68*(50/2)*(1000/150)</f>
        <v>134124534.95180357</v>
      </c>
      <c r="I68" s="50">
        <f t="shared" si="9"/>
        <v>8518.1999017813123</v>
      </c>
      <c r="J68" s="52">
        <f t="shared" ref="J68:J103" si="11">I68*(50/2)*(1000/150)</f>
        <v>1419699.9836302188</v>
      </c>
      <c r="K68" s="63">
        <f t="shared" ref="K68:K103" si="12">10^((C68-44.522)/( -3.5374))/5</f>
        <v>5.6538130498197061</v>
      </c>
      <c r="L68" s="64">
        <f t="shared" ref="L68:L103" si="13">K68*(50/5)*(1000/150)</f>
        <v>376.92086998798044</v>
      </c>
    </row>
    <row r="69" spans="1:12" x14ac:dyDescent="0.15">
      <c r="A69" s="16" t="s">
        <v>53</v>
      </c>
      <c r="B69" s="21">
        <v>45567</v>
      </c>
      <c r="C69" s="17">
        <v>35.372062685885297</v>
      </c>
      <c r="D69" s="17">
        <v>16.3584264690985</v>
      </c>
      <c r="E69" s="47">
        <v>22.676431508773199</v>
      </c>
      <c r="F69" s="56">
        <v>0.91114171018422752</v>
      </c>
      <c r="G69" s="60">
        <f t="shared" si="8"/>
        <v>540446.83825036569</v>
      </c>
      <c r="H69" s="53">
        <f t="shared" si="10"/>
        <v>90074473.041727617</v>
      </c>
      <c r="I69" s="50">
        <f t="shared" si="9"/>
        <v>3830.440953981918</v>
      </c>
      <c r="J69" s="52">
        <f t="shared" si="11"/>
        <v>638406.82566365309</v>
      </c>
      <c r="K69" s="63">
        <f t="shared" si="12"/>
        <v>77.207205521880297</v>
      </c>
      <c r="L69" s="64">
        <f t="shared" si="13"/>
        <v>5147.1470347920194</v>
      </c>
    </row>
    <row r="70" spans="1:12" x14ac:dyDescent="0.15">
      <c r="A70" s="16" t="s">
        <v>54</v>
      </c>
      <c r="B70" s="21">
        <v>45571</v>
      </c>
      <c r="C70" s="8">
        <v>40</v>
      </c>
      <c r="D70" s="17">
        <v>16.029106261113899</v>
      </c>
      <c r="E70" s="47">
        <v>21.411555720000901</v>
      </c>
      <c r="F70" s="56">
        <v>0.91843712993512761</v>
      </c>
      <c r="G70" s="60">
        <f t="shared" si="8"/>
        <v>671517.48732210172</v>
      </c>
      <c r="H70" s="53">
        <f t="shared" si="10"/>
        <v>111919581.2203503</v>
      </c>
      <c r="I70" s="50">
        <f t="shared" si="9"/>
        <v>9575.989155220992</v>
      </c>
      <c r="J70" s="52">
        <f t="shared" si="11"/>
        <v>1595998.1925368321</v>
      </c>
      <c r="K70" s="63">
        <f t="shared" si="12"/>
        <v>3.7963829950038126</v>
      </c>
      <c r="L70" s="64">
        <f t="shared" si="13"/>
        <v>253.09219966692083</v>
      </c>
    </row>
    <row r="71" spans="1:12" x14ac:dyDescent="0.15">
      <c r="A71" s="16" t="s">
        <v>55</v>
      </c>
      <c r="B71" s="21">
        <v>45574</v>
      </c>
      <c r="C71" s="17">
        <v>37.023458582140499</v>
      </c>
      <c r="D71" s="17">
        <v>18.056900922923301</v>
      </c>
      <c r="E71" s="47">
        <v>22.336483632219402</v>
      </c>
      <c r="F71" s="56">
        <v>0.627487885434732</v>
      </c>
      <c r="G71" s="60">
        <f t="shared" si="8"/>
        <v>176350.51993123724</v>
      </c>
      <c r="H71" s="53">
        <f t="shared" si="10"/>
        <v>29391753.321872875</v>
      </c>
      <c r="I71" s="50">
        <f t="shared" si="9"/>
        <v>4900.0183285447965</v>
      </c>
      <c r="J71" s="52">
        <f t="shared" si="11"/>
        <v>816669.72142413282</v>
      </c>
      <c r="K71" s="63">
        <f t="shared" si="12"/>
        <v>26.352325229574838</v>
      </c>
      <c r="L71" s="64">
        <f t="shared" si="13"/>
        <v>1756.8216819716558</v>
      </c>
    </row>
    <row r="72" spans="1:12" x14ac:dyDescent="0.15">
      <c r="A72" s="16" t="s">
        <v>56</v>
      </c>
      <c r="B72" s="21">
        <v>45578</v>
      </c>
      <c r="C72" s="17">
        <v>36.263917394134801</v>
      </c>
      <c r="D72" s="17">
        <v>16.047600958855799</v>
      </c>
      <c r="E72" s="47">
        <v>24.2327871651385</v>
      </c>
      <c r="F72" s="56">
        <v>0.627487885434732</v>
      </c>
      <c r="G72" s="60">
        <f t="shared" si="8"/>
        <v>663378.1659549647</v>
      </c>
      <c r="H72" s="53">
        <f t="shared" si="10"/>
        <v>110563027.65916078</v>
      </c>
      <c r="I72" s="50">
        <f t="shared" si="9"/>
        <v>1240.546910653351</v>
      </c>
      <c r="J72" s="52">
        <f t="shared" si="11"/>
        <v>206757.81844222517</v>
      </c>
      <c r="K72" s="63">
        <f t="shared" si="12"/>
        <v>43.205228007702431</v>
      </c>
      <c r="L72" s="64">
        <f t="shared" si="13"/>
        <v>2880.348533846829</v>
      </c>
    </row>
    <row r="73" spans="1:12" x14ac:dyDescent="0.15">
      <c r="A73" s="16" t="s">
        <v>57</v>
      </c>
      <c r="B73" s="20" t="s">
        <v>58</v>
      </c>
      <c r="C73" s="17">
        <v>32.918670861700001</v>
      </c>
      <c r="D73" s="17">
        <v>15.5066274300651</v>
      </c>
      <c r="E73" s="47">
        <v>19.448255682383099</v>
      </c>
      <c r="F73" s="56">
        <v>0.85586909825291868</v>
      </c>
      <c r="G73" s="60">
        <f t="shared" si="8"/>
        <v>947708.33590295434</v>
      </c>
      <c r="H73" s="53">
        <f t="shared" si="10"/>
        <v>157951389.31715906</v>
      </c>
      <c r="I73" s="50">
        <f t="shared" si="9"/>
        <v>39705.029324550647</v>
      </c>
      <c r="J73" s="52">
        <f t="shared" si="11"/>
        <v>6617504.8874251079</v>
      </c>
      <c r="K73" s="63">
        <f t="shared" si="12"/>
        <v>381.25518997998842</v>
      </c>
      <c r="L73" s="64">
        <f t="shared" si="13"/>
        <v>25417.012665332564</v>
      </c>
    </row>
    <row r="74" spans="1:12" x14ac:dyDescent="0.15">
      <c r="A74" s="16" t="s">
        <v>59</v>
      </c>
      <c r="B74" s="21">
        <v>45585</v>
      </c>
      <c r="C74" s="17">
        <v>36.172434082353803</v>
      </c>
      <c r="D74" s="17">
        <v>16.391575474854399</v>
      </c>
      <c r="E74" s="47">
        <v>21.217326881180298</v>
      </c>
      <c r="F74" s="56">
        <v>0.91566630021324313</v>
      </c>
      <c r="G74" s="60">
        <f t="shared" si="8"/>
        <v>528762.2109529014</v>
      </c>
      <c r="H74" s="53">
        <f t="shared" si="10"/>
        <v>88127035.158816904</v>
      </c>
      <c r="I74" s="50">
        <f t="shared" si="9"/>
        <v>11022.72057947625</v>
      </c>
      <c r="J74" s="52">
        <f t="shared" si="11"/>
        <v>1837120.096579375</v>
      </c>
      <c r="K74" s="63">
        <f t="shared" si="12"/>
        <v>45.85619751291695</v>
      </c>
      <c r="L74" s="64">
        <f t="shared" si="13"/>
        <v>3057.0798341944633</v>
      </c>
    </row>
    <row r="75" spans="1:12" x14ac:dyDescent="0.15">
      <c r="A75" s="16" t="s">
        <v>60</v>
      </c>
      <c r="B75" s="21">
        <v>45588</v>
      </c>
      <c r="C75" s="22">
        <v>40</v>
      </c>
      <c r="D75" s="22">
        <v>16.885013886493301</v>
      </c>
      <c r="E75" s="47">
        <v>27.523995053480999</v>
      </c>
      <c r="F75" s="56">
        <v>0.98729324368696192</v>
      </c>
      <c r="G75" s="60">
        <f t="shared" si="8"/>
        <v>381908.275592277</v>
      </c>
      <c r="H75" s="53">
        <f t="shared" si="10"/>
        <v>63651379.265379496</v>
      </c>
      <c r="I75" s="50">
        <f t="shared" si="9"/>
        <v>114.33687264303521</v>
      </c>
      <c r="J75" s="52">
        <f t="shared" si="11"/>
        <v>19056.145440505868</v>
      </c>
      <c r="K75" s="63">
        <f t="shared" si="12"/>
        <v>3.7963829950038126</v>
      </c>
      <c r="L75" s="64">
        <f t="shared" si="13"/>
        <v>253.09219966692083</v>
      </c>
    </row>
    <row r="76" spans="1:12" x14ac:dyDescent="0.15">
      <c r="A76" s="16" t="s">
        <v>61</v>
      </c>
      <c r="B76" s="21">
        <v>45592</v>
      </c>
      <c r="C76" s="17">
        <v>37.326888974975603</v>
      </c>
      <c r="D76" s="17">
        <v>17.075141943549902</v>
      </c>
      <c r="E76" s="47">
        <v>22.041349673549099</v>
      </c>
      <c r="F76" s="56">
        <v>0.91111614959436871</v>
      </c>
      <c r="G76" s="60">
        <f t="shared" si="8"/>
        <v>336909.98056083283</v>
      </c>
      <c r="H76" s="53">
        <f t="shared" si="10"/>
        <v>56151663.426805474</v>
      </c>
      <c r="I76" s="50">
        <f t="shared" si="9"/>
        <v>6068.0339641842274</v>
      </c>
      <c r="J76" s="52">
        <f t="shared" si="11"/>
        <v>1011338.9940307045</v>
      </c>
      <c r="K76" s="63">
        <f t="shared" si="12"/>
        <v>21.629234084840327</v>
      </c>
      <c r="L76" s="64">
        <f t="shared" si="13"/>
        <v>1441.9489389893554</v>
      </c>
    </row>
    <row r="77" spans="1:12" x14ac:dyDescent="0.15">
      <c r="A77" s="8" t="s">
        <v>157</v>
      </c>
      <c r="B77" s="7">
        <v>45595</v>
      </c>
      <c r="C77" s="17">
        <v>36.356281435076397</v>
      </c>
      <c r="D77" s="17">
        <v>17.9970024180355</v>
      </c>
      <c r="E77" s="47">
        <v>22.468176549259201</v>
      </c>
      <c r="F77" s="55">
        <v>0.53594725734652693</v>
      </c>
      <c r="G77" s="60">
        <f t="shared" si="8"/>
        <v>183454.90114740536</v>
      </c>
      <c r="H77" s="53">
        <f t="shared" si="10"/>
        <v>30575816.857900895</v>
      </c>
      <c r="I77" s="50">
        <f t="shared" si="9"/>
        <v>4454.1680400765345</v>
      </c>
      <c r="J77" s="52">
        <f t="shared" si="11"/>
        <v>742361.34001275571</v>
      </c>
      <c r="K77" s="63">
        <f t="shared" si="12"/>
        <v>40.684181867312319</v>
      </c>
      <c r="L77" s="64">
        <f t="shared" si="13"/>
        <v>2712.2787911541545</v>
      </c>
    </row>
    <row r="78" spans="1:12" x14ac:dyDescent="0.15">
      <c r="A78" s="16" t="s">
        <v>62</v>
      </c>
      <c r="B78" s="20" t="s">
        <v>63</v>
      </c>
      <c r="C78" s="17">
        <v>39.913266732084303</v>
      </c>
      <c r="D78" s="17">
        <v>18.463577201001701</v>
      </c>
      <c r="E78" s="47">
        <v>25.421016277412601</v>
      </c>
      <c r="F78" s="56">
        <v>0.92888018466706179</v>
      </c>
      <c r="G78" s="60">
        <f t="shared" si="8"/>
        <v>134871.64797472151</v>
      </c>
      <c r="H78" s="53">
        <f t="shared" si="10"/>
        <v>22478607.99578692</v>
      </c>
      <c r="I78" s="50">
        <f t="shared" si="9"/>
        <v>524.55576268884329</v>
      </c>
      <c r="J78" s="52">
        <f t="shared" si="11"/>
        <v>87425.960448140555</v>
      </c>
      <c r="K78" s="63">
        <f t="shared" si="12"/>
        <v>4.0168808598371921</v>
      </c>
      <c r="L78" s="64">
        <f t="shared" si="13"/>
        <v>267.79205732247954</v>
      </c>
    </row>
    <row r="79" spans="1:12" x14ac:dyDescent="0.15">
      <c r="A79" s="16" t="s">
        <v>64</v>
      </c>
      <c r="B79" s="20" t="s">
        <v>65</v>
      </c>
      <c r="C79" s="17">
        <v>34.855245837397</v>
      </c>
      <c r="D79" s="17">
        <v>13.5839254566243</v>
      </c>
      <c r="E79" s="47">
        <v>19.328336882439402</v>
      </c>
      <c r="F79" s="56">
        <v>0.78923296357232564</v>
      </c>
      <c r="G79" s="60">
        <f t="shared" si="8"/>
        <v>3367137.6683760299</v>
      </c>
      <c r="H79" s="53">
        <f t="shared" si="10"/>
        <v>561189611.39600503</v>
      </c>
      <c r="I79" s="50">
        <f t="shared" si="9"/>
        <v>43308.430473753549</v>
      </c>
      <c r="J79" s="52">
        <f t="shared" si="11"/>
        <v>7218071.7456255918</v>
      </c>
      <c r="K79" s="63">
        <f t="shared" si="12"/>
        <v>108.08330080391849</v>
      </c>
      <c r="L79" s="64">
        <f t="shared" si="13"/>
        <v>7205.5533869278997</v>
      </c>
    </row>
    <row r="80" spans="1:12" x14ac:dyDescent="0.15">
      <c r="A80" s="16" t="s">
        <v>66</v>
      </c>
      <c r="B80" s="20" t="s">
        <v>67</v>
      </c>
      <c r="C80" s="17">
        <v>36.195643768666102</v>
      </c>
      <c r="D80" s="17">
        <v>14.8119048422676</v>
      </c>
      <c r="E80" s="47">
        <v>18.9381934385321</v>
      </c>
      <c r="F80" s="56">
        <v>0.84283313469107879</v>
      </c>
      <c r="G80" s="60">
        <f t="shared" si="8"/>
        <v>1498359.0913742692</v>
      </c>
      <c r="H80" s="53">
        <f t="shared" si="10"/>
        <v>249726515.22904485</v>
      </c>
      <c r="I80" s="50">
        <f t="shared" si="9"/>
        <v>57453.05136134295</v>
      </c>
      <c r="J80" s="52">
        <f t="shared" si="11"/>
        <v>9575508.5602238253</v>
      </c>
      <c r="K80" s="63">
        <f t="shared" si="12"/>
        <v>45.168618924840175</v>
      </c>
      <c r="L80" s="64">
        <f t="shared" si="13"/>
        <v>3011.2412616560118</v>
      </c>
    </row>
    <row r="81" spans="1:12" x14ac:dyDescent="0.15">
      <c r="A81" s="16" t="s">
        <v>68</v>
      </c>
      <c r="B81" s="21">
        <v>45609</v>
      </c>
      <c r="C81" s="18">
        <v>31.474042274839</v>
      </c>
      <c r="D81" s="17">
        <v>15.3029071253574</v>
      </c>
      <c r="E81" s="47">
        <v>20.708978833252399</v>
      </c>
      <c r="F81" s="56">
        <v>0.68192721424151848</v>
      </c>
      <c r="G81" s="60">
        <f t="shared" si="8"/>
        <v>1083957.3087065313</v>
      </c>
      <c r="H81" s="53">
        <f t="shared" si="10"/>
        <v>180659551.45108855</v>
      </c>
      <c r="I81" s="50">
        <f t="shared" si="9"/>
        <v>15930.047977284472</v>
      </c>
      <c r="J81" s="52">
        <f t="shared" si="11"/>
        <v>2655007.9962140787</v>
      </c>
      <c r="K81" s="63">
        <f t="shared" si="12"/>
        <v>976.34404374555652</v>
      </c>
      <c r="L81" s="64">
        <f t="shared" si="13"/>
        <v>65089.602916370437</v>
      </c>
    </row>
    <row r="82" spans="1:12" x14ac:dyDescent="0.15">
      <c r="A82" s="16" t="s">
        <v>69</v>
      </c>
      <c r="B82" s="21">
        <v>45613</v>
      </c>
      <c r="C82" s="18">
        <v>34.489978929169197</v>
      </c>
      <c r="D82" s="17">
        <v>15.2315041663201</v>
      </c>
      <c r="E82" s="47">
        <v>20.727640345678001</v>
      </c>
      <c r="F82" s="56">
        <v>0.40555487466678219</v>
      </c>
      <c r="G82" s="60">
        <f t="shared" si="8"/>
        <v>1136211.4859199128</v>
      </c>
      <c r="H82" s="53">
        <f t="shared" si="10"/>
        <v>189368580.98665214</v>
      </c>
      <c r="I82" s="50">
        <f t="shared" si="9"/>
        <v>15716.147602137078</v>
      </c>
      <c r="J82" s="52">
        <f t="shared" si="11"/>
        <v>2619357.9336895132</v>
      </c>
      <c r="K82" s="63">
        <f t="shared" si="12"/>
        <v>137.09360015697618</v>
      </c>
      <c r="L82" s="64">
        <f t="shared" si="13"/>
        <v>9139.5733437984127</v>
      </c>
    </row>
    <row r="83" spans="1:12" x14ac:dyDescent="0.15">
      <c r="A83" s="16" t="s">
        <v>70</v>
      </c>
      <c r="B83" s="20" t="s">
        <v>71</v>
      </c>
      <c r="C83" s="18">
        <v>33.373681372125503</v>
      </c>
      <c r="D83" s="17">
        <v>15.708620765881401</v>
      </c>
      <c r="E83" s="47">
        <v>19.2407412503707</v>
      </c>
      <c r="F83" s="56">
        <v>0.52697592226915457</v>
      </c>
      <c r="G83" s="60">
        <f t="shared" si="8"/>
        <v>829529.35489308892</v>
      </c>
      <c r="H83" s="53">
        <f t="shared" si="10"/>
        <v>138254892.48218149</v>
      </c>
      <c r="I83" s="50">
        <f t="shared" si="9"/>
        <v>46145.608114373543</v>
      </c>
      <c r="J83" s="52">
        <f t="shared" si="11"/>
        <v>7690934.6857289243</v>
      </c>
      <c r="K83" s="63">
        <f t="shared" si="12"/>
        <v>283.52231675012706</v>
      </c>
      <c r="L83" s="64">
        <f t="shared" si="13"/>
        <v>18901.487783341807</v>
      </c>
    </row>
    <row r="84" spans="1:12" x14ac:dyDescent="0.15">
      <c r="A84" s="16" t="s">
        <v>72</v>
      </c>
      <c r="B84" s="20" t="s">
        <v>73</v>
      </c>
      <c r="C84" s="18">
        <v>33.370784675158497</v>
      </c>
      <c r="D84" s="17">
        <v>16.175433824603601</v>
      </c>
      <c r="E84" s="47">
        <v>22.814032464221299</v>
      </c>
      <c r="F84" s="56">
        <v>0.48850192291298378</v>
      </c>
      <c r="G84" s="60">
        <f t="shared" si="8"/>
        <v>609754.30009981501</v>
      </c>
      <c r="H84" s="53">
        <f t="shared" si="10"/>
        <v>101625716.68330251</v>
      </c>
      <c r="I84" s="50">
        <f t="shared" si="9"/>
        <v>3467.0409640370326</v>
      </c>
      <c r="J84" s="52">
        <f t="shared" si="11"/>
        <v>577840.1606728388</v>
      </c>
      <c r="K84" s="63">
        <f>10^((C84-44.522)/( -3.5374))/5</f>
        <v>284.05741229343005</v>
      </c>
      <c r="L84" s="64">
        <f>K84*(50/5)*(1000/150)</f>
        <v>18937.160819562003</v>
      </c>
    </row>
    <row r="85" spans="1:12" x14ac:dyDescent="0.15">
      <c r="A85" s="8" t="s">
        <v>158</v>
      </c>
      <c r="B85" s="7">
        <v>45623</v>
      </c>
      <c r="C85" s="17">
        <v>36.310868767030897</v>
      </c>
      <c r="D85" s="17">
        <v>17.7985455957539</v>
      </c>
      <c r="E85" s="47">
        <v>22.681366362534799</v>
      </c>
      <c r="F85" s="55">
        <v>0.59571022091562942</v>
      </c>
      <c r="G85" s="60">
        <f t="shared" si="8"/>
        <v>209102.65249407996</v>
      </c>
      <c r="H85" s="53">
        <f t="shared" si="10"/>
        <v>34850442.082346663</v>
      </c>
      <c r="I85" s="50">
        <f t="shared" si="9"/>
        <v>3816.7722657368363</v>
      </c>
      <c r="J85" s="52">
        <f t="shared" si="11"/>
        <v>636128.71095613937</v>
      </c>
      <c r="K85" s="63">
        <f t="shared" si="12"/>
        <v>41.904769224752066</v>
      </c>
      <c r="L85" s="64">
        <f t="shared" si="13"/>
        <v>2793.6512816501381</v>
      </c>
    </row>
    <row r="86" spans="1:12" x14ac:dyDescent="0.15">
      <c r="A86" s="16" t="s">
        <v>74</v>
      </c>
      <c r="B86" s="20" t="s">
        <v>75</v>
      </c>
      <c r="C86" s="18">
        <v>33.360181933949001</v>
      </c>
      <c r="D86" s="17">
        <v>15.695040083447401</v>
      </c>
      <c r="E86" s="47">
        <v>21.2566684116162</v>
      </c>
      <c r="F86" s="56">
        <v>0.43891104051904728</v>
      </c>
      <c r="G86" s="60">
        <f t="shared" si="8"/>
        <v>836990.89207756147</v>
      </c>
      <c r="H86" s="53">
        <f t="shared" si="10"/>
        <v>139498482.01292691</v>
      </c>
      <c r="I86" s="50">
        <f t="shared" si="9"/>
        <v>10713.017120435128</v>
      </c>
      <c r="J86" s="52">
        <f t="shared" si="11"/>
        <v>1785502.8534058549</v>
      </c>
      <c r="K86" s="63">
        <f t="shared" si="12"/>
        <v>286.02464315942933</v>
      </c>
      <c r="L86" s="64">
        <f t="shared" si="13"/>
        <v>19068.309543961957</v>
      </c>
    </row>
    <row r="87" spans="1:12" x14ac:dyDescent="0.15">
      <c r="A87" s="16" t="s">
        <v>76</v>
      </c>
      <c r="B87" s="20" t="s">
        <v>77</v>
      </c>
      <c r="C87" s="18">
        <v>31.0094413375747</v>
      </c>
      <c r="D87" s="17">
        <v>15.510244059503</v>
      </c>
      <c r="E87" s="47">
        <v>22.326953490100099</v>
      </c>
      <c r="F87" s="56">
        <v>0.49576250646268261</v>
      </c>
      <c r="G87" s="60">
        <f t="shared" si="8"/>
        <v>945451.03215153876</v>
      </c>
      <c r="H87" s="53">
        <f t="shared" si="10"/>
        <v>157575172.02525645</v>
      </c>
      <c r="I87" s="50">
        <f t="shared" si="9"/>
        <v>4933.9634106725189</v>
      </c>
      <c r="J87" s="52">
        <f t="shared" si="11"/>
        <v>822327.23511208652</v>
      </c>
      <c r="K87" s="63">
        <f t="shared" si="12"/>
        <v>1321.1208538547405</v>
      </c>
      <c r="L87" s="64">
        <f t="shared" si="13"/>
        <v>88074.723590316047</v>
      </c>
    </row>
    <row r="88" spans="1:12" x14ac:dyDescent="0.15">
      <c r="A88" s="16" t="s">
        <v>78</v>
      </c>
      <c r="B88" s="20" t="s">
        <v>79</v>
      </c>
      <c r="C88" s="18">
        <v>34.196000350198297</v>
      </c>
      <c r="D88" s="17">
        <v>16.420118971971601</v>
      </c>
      <c r="E88" s="47">
        <v>21.025675583818</v>
      </c>
      <c r="F88" s="56">
        <v>0.88600197865855601</v>
      </c>
      <c r="G88" s="60">
        <f t="shared" si="8"/>
        <v>518903.59041246644</v>
      </c>
      <c r="H88" s="53">
        <f t="shared" si="10"/>
        <v>86483931.735411078</v>
      </c>
      <c r="I88" s="50">
        <f t="shared" si="9"/>
        <v>12664.354145361394</v>
      </c>
      <c r="J88" s="52">
        <f t="shared" si="11"/>
        <v>2110725.6908935658</v>
      </c>
      <c r="K88" s="63">
        <f t="shared" si="12"/>
        <v>166.00570596294784</v>
      </c>
      <c r="L88" s="64">
        <f t="shared" si="13"/>
        <v>11067.047064196522</v>
      </c>
    </row>
    <row r="89" spans="1:12" x14ac:dyDescent="0.15">
      <c r="A89" s="16" t="s">
        <v>80</v>
      </c>
      <c r="B89" s="21">
        <v>45637</v>
      </c>
      <c r="C89" s="18">
        <v>33.445616251275297</v>
      </c>
      <c r="D89" s="17">
        <v>15.577862900307</v>
      </c>
      <c r="E89" s="47">
        <v>20.718343449633998</v>
      </c>
      <c r="F89" s="56">
        <v>0.48565549232848948</v>
      </c>
      <c r="G89" s="60">
        <f t="shared" si="8"/>
        <v>904223.24142737698</v>
      </c>
      <c r="H89" s="53">
        <f t="shared" si="10"/>
        <v>150703873.57122952</v>
      </c>
      <c r="I89" s="50">
        <f t="shared" si="9"/>
        <v>15822.348239719222</v>
      </c>
      <c r="J89" s="52">
        <f t="shared" si="11"/>
        <v>2637058.0399532039</v>
      </c>
      <c r="K89" s="63">
        <f t="shared" si="12"/>
        <v>270.55260879092179</v>
      </c>
      <c r="L89" s="64">
        <f t="shared" si="13"/>
        <v>18036.840586061455</v>
      </c>
    </row>
    <row r="90" spans="1:12" x14ac:dyDescent="0.15">
      <c r="A90" s="16" t="s">
        <v>81</v>
      </c>
      <c r="B90" s="20" t="s">
        <v>82</v>
      </c>
      <c r="C90" s="18">
        <v>32.319336730345</v>
      </c>
      <c r="D90" s="17">
        <v>15.970753683272999</v>
      </c>
      <c r="E90" s="47">
        <v>22.8796341781504</v>
      </c>
      <c r="F90" s="56">
        <v>0.37590048320965352</v>
      </c>
      <c r="G90" s="60">
        <f t="shared" si="8"/>
        <v>697858.23630196461</v>
      </c>
      <c r="H90" s="53">
        <f t="shared" si="10"/>
        <v>116309706.05032745</v>
      </c>
      <c r="I90" s="50">
        <f t="shared" si="9"/>
        <v>3306.1337349861024</v>
      </c>
      <c r="J90" s="52">
        <f t="shared" si="11"/>
        <v>551022.28916435037</v>
      </c>
      <c r="K90" s="63">
        <f t="shared" si="12"/>
        <v>563.17533995120652</v>
      </c>
      <c r="L90" s="64">
        <f t="shared" si="13"/>
        <v>37545.022663413765</v>
      </c>
    </row>
    <row r="91" spans="1:12" x14ac:dyDescent="0.15">
      <c r="A91" s="16" t="s">
        <v>83</v>
      </c>
      <c r="B91" s="20" t="s">
        <v>84</v>
      </c>
      <c r="C91" s="18">
        <v>33.376723019017803</v>
      </c>
      <c r="D91" s="17">
        <v>15.6371420900674</v>
      </c>
      <c r="E91" s="47">
        <v>22.270488017745599</v>
      </c>
      <c r="F91" s="56">
        <v>0.54781272334840914</v>
      </c>
      <c r="G91" s="60">
        <f t="shared" si="8"/>
        <v>869561.77168851288</v>
      </c>
      <c r="H91" s="53">
        <f t="shared" si="10"/>
        <v>144926961.94808549</v>
      </c>
      <c r="I91" s="50">
        <f t="shared" si="9"/>
        <v>5139.9652530842714</v>
      </c>
      <c r="J91" s="52">
        <f t="shared" si="11"/>
        <v>856660.87551404524</v>
      </c>
      <c r="K91" s="63">
        <f t="shared" si="12"/>
        <v>282.96153004994005</v>
      </c>
      <c r="L91" s="64">
        <f t="shared" si="13"/>
        <v>18864.102003329335</v>
      </c>
    </row>
    <row r="92" spans="1:12" x14ac:dyDescent="0.15">
      <c r="A92" s="16" t="s">
        <v>85</v>
      </c>
      <c r="B92" s="20" t="s">
        <v>86</v>
      </c>
      <c r="C92" s="18">
        <v>32.548317385102401</v>
      </c>
      <c r="D92" s="17">
        <v>16.507396649087099</v>
      </c>
      <c r="E92" s="47">
        <v>21.4026111723376</v>
      </c>
      <c r="F92" s="56">
        <v>0.94218354844819352</v>
      </c>
      <c r="G92" s="60">
        <f t="shared" si="8"/>
        <v>489884.59637316701</v>
      </c>
      <c r="H92" s="53">
        <f t="shared" si="10"/>
        <v>81647432.728861183</v>
      </c>
      <c r="I92" s="50">
        <f t="shared" si="9"/>
        <v>9638.2377557988966</v>
      </c>
      <c r="J92" s="52">
        <f t="shared" si="11"/>
        <v>1606372.9592998161</v>
      </c>
      <c r="K92" s="63">
        <f t="shared" si="12"/>
        <v>485.19049718671147</v>
      </c>
      <c r="L92" s="64">
        <f t="shared" si="13"/>
        <v>32346.033145780766</v>
      </c>
    </row>
    <row r="93" spans="1:12" x14ac:dyDescent="0.15">
      <c r="A93" s="8" t="s">
        <v>159</v>
      </c>
      <c r="B93" s="7">
        <v>45651</v>
      </c>
      <c r="C93" s="17">
        <v>38.742224863808097</v>
      </c>
      <c r="D93" s="17">
        <v>19.252700517169998</v>
      </c>
      <c r="E93" s="47">
        <v>28.091237600818101</v>
      </c>
      <c r="F93" s="55">
        <v>0.75333240094976395</v>
      </c>
      <c r="G93" s="60">
        <f t="shared" si="8"/>
        <v>80157.987358728366</v>
      </c>
      <c r="H93" s="53">
        <f t="shared" si="10"/>
        <v>13359664.559788061</v>
      </c>
      <c r="I93" s="50">
        <f t="shared" si="9"/>
        <v>75.810538887858755</v>
      </c>
      <c r="J93" s="52">
        <f t="shared" si="11"/>
        <v>12635.089814643126</v>
      </c>
      <c r="K93" s="63">
        <f t="shared" si="12"/>
        <v>8.6086465979285212</v>
      </c>
      <c r="L93" s="64">
        <f t="shared" si="13"/>
        <v>573.90977319523472</v>
      </c>
    </row>
    <row r="94" spans="1:12" x14ac:dyDescent="0.15">
      <c r="A94" s="16" t="s">
        <v>87</v>
      </c>
      <c r="B94" s="20" t="s">
        <v>88</v>
      </c>
      <c r="C94" s="18">
        <v>35.0821054548787</v>
      </c>
      <c r="D94" s="17">
        <v>15.567776346477</v>
      </c>
      <c r="E94" s="47">
        <v>20.454982809373099</v>
      </c>
      <c r="F94" s="56">
        <v>0.54301378945823353</v>
      </c>
      <c r="G94" s="60">
        <f t="shared" si="8"/>
        <v>910257.06336443569</v>
      </c>
      <c r="H94" s="53">
        <f t="shared" si="10"/>
        <v>151709510.56073931</v>
      </c>
      <c r="I94" s="50">
        <f t="shared" si="9"/>
        <v>19148.079721242582</v>
      </c>
      <c r="J94" s="52">
        <f t="shared" si="11"/>
        <v>3191346.6202070974</v>
      </c>
      <c r="K94" s="63">
        <f t="shared" si="12"/>
        <v>93.245280388423652</v>
      </c>
      <c r="L94" s="64">
        <f t="shared" si="13"/>
        <v>6216.3520258949111</v>
      </c>
    </row>
    <row r="95" spans="1:12" x14ac:dyDescent="0.15">
      <c r="A95" s="16" t="s">
        <v>89</v>
      </c>
      <c r="B95" s="20" t="s">
        <v>90</v>
      </c>
      <c r="C95" s="18">
        <v>36.858418361782199</v>
      </c>
      <c r="D95" s="17">
        <v>15.915046266523801</v>
      </c>
      <c r="E95" s="47">
        <v>19.200342346886998</v>
      </c>
      <c r="F95" s="56">
        <v>0.61588955226326425</v>
      </c>
      <c r="G95" s="60">
        <f t="shared" si="8"/>
        <v>723968.4163156657</v>
      </c>
      <c r="H95" s="53">
        <f t="shared" si="10"/>
        <v>120661402.71927762</v>
      </c>
      <c r="I95" s="50">
        <f t="shared" si="9"/>
        <v>47516.016744989131</v>
      </c>
      <c r="J95" s="52">
        <f t="shared" si="11"/>
        <v>7919336.1241648551</v>
      </c>
      <c r="K95" s="63">
        <f t="shared" si="12"/>
        <v>29.34098841366183</v>
      </c>
      <c r="L95" s="64">
        <f t="shared" si="13"/>
        <v>1956.0658942441221</v>
      </c>
    </row>
    <row r="96" spans="1:12" x14ac:dyDescent="0.15">
      <c r="A96" s="16" t="s">
        <v>91</v>
      </c>
      <c r="B96" s="20" t="s">
        <v>92</v>
      </c>
      <c r="C96" s="18">
        <v>27.1602015084854</v>
      </c>
      <c r="D96" s="17">
        <v>16.091734812007498</v>
      </c>
      <c r="E96" s="47">
        <v>20.353306651836501</v>
      </c>
      <c r="F96" s="56">
        <v>0.60409386271716858</v>
      </c>
      <c r="G96" s="60">
        <f t="shared" si="8"/>
        <v>644351.69420362101</v>
      </c>
      <c r="H96" s="53">
        <f t="shared" si="10"/>
        <v>107391949.03393684</v>
      </c>
      <c r="I96" s="50">
        <f t="shared" si="9"/>
        <v>20611.658771284991</v>
      </c>
      <c r="J96" s="52">
        <f t="shared" si="11"/>
        <v>3435276.461880832</v>
      </c>
      <c r="K96" s="63">
        <f t="shared" si="12"/>
        <v>16184.438692120588</v>
      </c>
      <c r="L96" s="64">
        <f t="shared" si="13"/>
        <v>1078962.579474706</v>
      </c>
    </row>
    <row r="97" spans="1:12" x14ac:dyDescent="0.15">
      <c r="A97" s="16" t="s">
        <v>93</v>
      </c>
      <c r="B97" s="21">
        <v>45665</v>
      </c>
      <c r="C97" s="18">
        <v>36.0039544955157</v>
      </c>
      <c r="D97" s="17">
        <v>16.2086221463539</v>
      </c>
      <c r="E97" s="47">
        <v>18.9732225885856</v>
      </c>
      <c r="F97" s="56">
        <v>0.69520851292945451</v>
      </c>
      <c r="G97" s="60">
        <f t="shared" si="8"/>
        <v>596555.75892613921</v>
      </c>
      <c r="H97" s="53">
        <f t="shared" si="10"/>
        <v>99425959.821023196</v>
      </c>
      <c r="I97" s="50">
        <f t="shared" si="9"/>
        <v>56013.510468025066</v>
      </c>
      <c r="J97" s="52">
        <f t="shared" si="11"/>
        <v>9335585.0780041777</v>
      </c>
      <c r="K97" s="63">
        <f t="shared" si="12"/>
        <v>51.171261556299626</v>
      </c>
      <c r="L97" s="64">
        <f t="shared" si="13"/>
        <v>3411.4174370866417</v>
      </c>
    </row>
    <row r="98" spans="1:12" x14ac:dyDescent="0.15">
      <c r="A98" s="16" t="s">
        <v>94</v>
      </c>
      <c r="B98" s="21">
        <v>45669</v>
      </c>
      <c r="C98" s="18">
        <v>32.405621842541997</v>
      </c>
      <c r="D98" s="17">
        <v>16.438006611392801</v>
      </c>
      <c r="E98" s="47">
        <v>22.261029932957801</v>
      </c>
      <c r="F98" s="56">
        <v>0.27955623274125574</v>
      </c>
      <c r="G98" s="60">
        <f t="shared" si="8"/>
        <v>512819.2979207029</v>
      </c>
      <c r="H98" s="53">
        <f t="shared" si="10"/>
        <v>85469882.986783817</v>
      </c>
      <c r="I98" s="50">
        <f t="shared" si="9"/>
        <v>5175.3024275275411</v>
      </c>
      <c r="J98" s="52">
        <f t="shared" si="11"/>
        <v>862550.40458792355</v>
      </c>
      <c r="K98" s="63">
        <f t="shared" si="12"/>
        <v>532.4163566342761</v>
      </c>
      <c r="L98" s="64">
        <f t="shared" si="13"/>
        <v>35494.423775618408</v>
      </c>
    </row>
    <row r="99" spans="1:12" x14ac:dyDescent="0.15">
      <c r="A99" s="16" t="s">
        <v>95</v>
      </c>
      <c r="B99" s="20" t="s">
        <v>96</v>
      </c>
      <c r="C99" s="18">
        <v>31.896693742900599</v>
      </c>
      <c r="D99" s="17">
        <v>15.0828250333405</v>
      </c>
      <c r="E99" s="47">
        <v>21.203805809514101</v>
      </c>
      <c r="F99" s="56">
        <v>0.73353799306701495</v>
      </c>
      <c r="G99" s="60">
        <f t="shared" si="8"/>
        <v>1253242.2490098425</v>
      </c>
      <c r="H99" s="53">
        <f t="shared" si="10"/>
        <v>208873708.1683071</v>
      </c>
      <c r="I99" s="50">
        <f t="shared" si="9"/>
        <v>11131.215236137357</v>
      </c>
      <c r="J99" s="52">
        <f t="shared" si="11"/>
        <v>1855202.5393562263</v>
      </c>
      <c r="K99" s="63">
        <f t="shared" si="12"/>
        <v>741.51861300111239</v>
      </c>
      <c r="L99" s="64">
        <f t="shared" si="13"/>
        <v>49434.574200074159</v>
      </c>
    </row>
    <row r="100" spans="1:12" x14ac:dyDescent="0.15">
      <c r="A100" s="16" t="s">
        <v>97</v>
      </c>
      <c r="B100" s="21">
        <v>45676</v>
      </c>
      <c r="C100" s="18">
        <v>33.215417392650799</v>
      </c>
      <c r="D100" s="17">
        <v>15.681107464410401</v>
      </c>
      <c r="E100" s="47">
        <v>20.502628226253901</v>
      </c>
      <c r="F100" s="56">
        <v>0.78615633668434459</v>
      </c>
      <c r="G100" s="60">
        <f t="shared" si="8"/>
        <v>844715.54393780266</v>
      </c>
      <c r="H100" s="53">
        <f t="shared" si="10"/>
        <v>140785923.98963377</v>
      </c>
      <c r="I100" s="50">
        <f t="shared" si="9"/>
        <v>18498.469265191496</v>
      </c>
      <c r="J100" s="52">
        <f t="shared" si="11"/>
        <v>3083078.2108652494</v>
      </c>
      <c r="K100" s="63">
        <f t="shared" si="12"/>
        <v>314.28774566049231</v>
      </c>
      <c r="L100" s="64">
        <f t="shared" si="13"/>
        <v>20952.516377366155</v>
      </c>
    </row>
    <row r="101" spans="1:12" x14ac:dyDescent="0.15">
      <c r="A101" s="16" t="s">
        <v>98</v>
      </c>
      <c r="B101" s="21">
        <v>45679</v>
      </c>
      <c r="C101" s="18">
        <v>34.604580107055</v>
      </c>
      <c r="D101" s="17">
        <v>15.803876853830801</v>
      </c>
      <c r="E101" s="47">
        <v>19.532263358952498</v>
      </c>
      <c r="F101" s="56">
        <v>0.89862915505121077</v>
      </c>
      <c r="G101" s="60">
        <f t="shared" si="8"/>
        <v>779029.96807970444</v>
      </c>
      <c r="H101" s="53">
        <f t="shared" si="10"/>
        <v>129838328.01328409</v>
      </c>
      <c r="I101" s="50">
        <f t="shared" si="9"/>
        <v>37360.818078994242</v>
      </c>
      <c r="J101" s="52">
        <f t="shared" si="11"/>
        <v>6226803.0131657077</v>
      </c>
      <c r="K101" s="63">
        <f t="shared" si="12"/>
        <v>127.23897822196632</v>
      </c>
      <c r="L101" s="64">
        <f t="shared" si="13"/>
        <v>8482.598548131089</v>
      </c>
    </row>
    <row r="102" spans="1:12" x14ac:dyDescent="0.15">
      <c r="A102" s="16" t="s">
        <v>99</v>
      </c>
      <c r="B102" s="20" t="s">
        <v>100</v>
      </c>
      <c r="C102" s="18">
        <v>31.032351642719298</v>
      </c>
      <c r="D102" s="17">
        <v>16.3469080912392</v>
      </c>
      <c r="E102" s="47">
        <v>20.165618443207102</v>
      </c>
      <c r="F102" s="56">
        <v>0.55511529424756834</v>
      </c>
      <c r="G102" s="60">
        <f t="shared" si="8"/>
        <v>544567.08824708173</v>
      </c>
      <c r="H102" s="53">
        <f t="shared" si="10"/>
        <v>90761181.374513626</v>
      </c>
      <c r="I102" s="50">
        <f t="shared" si="9"/>
        <v>23613.501409557848</v>
      </c>
      <c r="J102" s="52">
        <f t="shared" si="11"/>
        <v>3935583.5682596415</v>
      </c>
      <c r="K102" s="63">
        <f t="shared" si="12"/>
        <v>1301.5652754442556</v>
      </c>
      <c r="L102" s="64">
        <f t="shared" si="13"/>
        <v>86771.018362950374</v>
      </c>
    </row>
    <row r="103" spans="1:12" ht="14" thickBot="1" x14ac:dyDescent="0.2">
      <c r="A103" s="23" t="s">
        <v>160</v>
      </c>
      <c r="B103" s="7">
        <v>45686</v>
      </c>
      <c r="C103" s="17">
        <v>38.374671084039797</v>
      </c>
      <c r="D103" s="17">
        <v>18.529214708633599</v>
      </c>
      <c r="E103" s="47">
        <v>24.213898392314199</v>
      </c>
      <c r="F103" s="57">
        <v>0.51286794074600461</v>
      </c>
      <c r="G103" s="61">
        <f t="shared" si="8"/>
        <v>129158.99743286437</v>
      </c>
      <c r="H103" s="53">
        <f t="shared" si="10"/>
        <v>21526499.572144061</v>
      </c>
      <c r="I103" s="62">
        <f t="shared" si="9"/>
        <v>1257.6380641041185</v>
      </c>
      <c r="J103" s="52">
        <f t="shared" si="11"/>
        <v>209606.34401735308</v>
      </c>
      <c r="K103" s="63">
        <f t="shared" si="12"/>
        <v>10.935532744333758</v>
      </c>
      <c r="L103" s="64">
        <f t="shared" si="13"/>
        <v>729.03551628891717</v>
      </c>
    </row>
  </sheetData>
  <mergeCells count="4">
    <mergeCell ref="C1:E1"/>
    <mergeCell ref="G1:H1"/>
    <mergeCell ref="I1:J1"/>
    <mergeCell ref="K1:L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5"/>
  <sheetViews>
    <sheetView topLeftCell="H2" workbookViewId="0">
      <selection activeCell="B25" sqref="B25"/>
    </sheetView>
  </sheetViews>
  <sheetFormatPr baseColWidth="10" defaultRowHeight="15" x14ac:dyDescent="0.2"/>
  <cols>
    <col min="2" max="2" width="20.6640625" customWidth="1"/>
    <col min="3" max="3" width="11.33203125" style="1" customWidth="1"/>
  </cols>
  <sheetData>
    <row r="1" spans="1:31" s="25" customFormat="1" ht="13" x14ac:dyDescent="0.15">
      <c r="A1" s="3" t="s">
        <v>102</v>
      </c>
      <c r="B1" s="3" t="s">
        <v>103</v>
      </c>
      <c r="C1" s="4" t="s">
        <v>1</v>
      </c>
      <c r="D1" s="3" t="s">
        <v>105</v>
      </c>
      <c r="E1" s="3" t="s">
        <v>106</v>
      </c>
      <c r="F1" s="3" t="s">
        <v>107</v>
      </c>
      <c r="G1" s="3" t="s">
        <v>108</v>
      </c>
      <c r="H1" s="3" t="s">
        <v>109</v>
      </c>
      <c r="I1" s="3" t="s">
        <v>110</v>
      </c>
      <c r="J1" s="3" t="s">
        <v>111</v>
      </c>
      <c r="K1" s="3" t="s">
        <v>112</v>
      </c>
      <c r="L1" s="3" t="s">
        <v>113</v>
      </c>
      <c r="M1" s="3" t="s">
        <v>114</v>
      </c>
      <c r="N1" s="3" t="s">
        <v>115</v>
      </c>
      <c r="O1" s="3" t="s">
        <v>116</v>
      </c>
      <c r="P1" s="3" t="s">
        <v>117</v>
      </c>
      <c r="Q1" s="3" t="s">
        <v>118</v>
      </c>
      <c r="R1" s="3" t="s">
        <v>119</v>
      </c>
      <c r="S1" s="3" t="s">
        <v>120</v>
      </c>
      <c r="T1" s="3" t="s">
        <v>121</v>
      </c>
      <c r="U1" s="3" t="s">
        <v>122</v>
      </c>
      <c r="V1" s="3" t="s">
        <v>123</v>
      </c>
      <c r="W1" s="3" t="s">
        <v>124</v>
      </c>
      <c r="X1" s="3" t="s">
        <v>125</v>
      </c>
      <c r="Y1" s="3" t="s">
        <v>126</v>
      </c>
      <c r="Z1" s="3" t="s">
        <v>127</v>
      </c>
      <c r="AA1" s="3" t="s">
        <v>128</v>
      </c>
      <c r="AB1" s="3" t="s">
        <v>129</v>
      </c>
      <c r="AC1" s="3" t="s">
        <v>130</v>
      </c>
      <c r="AD1" s="3" t="s">
        <v>131</v>
      </c>
      <c r="AE1" s="3" t="s">
        <v>132</v>
      </c>
    </row>
    <row r="2" spans="1:31" s="12" customFormat="1" ht="13" x14ac:dyDescent="0.15">
      <c r="A2" s="5">
        <v>1</v>
      </c>
      <c r="B2" s="16" t="s">
        <v>143</v>
      </c>
      <c r="C2" s="7">
        <v>45315</v>
      </c>
      <c r="D2" s="6">
        <v>39.299999999999997</v>
      </c>
      <c r="E2" s="6" t="s">
        <v>104</v>
      </c>
      <c r="F2" s="6">
        <v>39.200000000000003</v>
      </c>
      <c r="G2" s="6" t="s">
        <v>104</v>
      </c>
      <c r="H2" s="6" t="s">
        <v>104</v>
      </c>
      <c r="I2" s="6" t="s">
        <v>104</v>
      </c>
      <c r="J2" s="6" t="s">
        <v>104</v>
      </c>
      <c r="K2" s="6" t="s">
        <v>104</v>
      </c>
      <c r="L2" s="6">
        <v>37.9</v>
      </c>
      <c r="M2" s="6" t="s">
        <v>104</v>
      </c>
      <c r="N2" s="6">
        <v>39.4</v>
      </c>
      <c r="O2" s="6">
        <v>42.2</v>
      </c>
      <c r="P2" s="6" t="s">
        <v>104</v>
      </c>
      <c r="Q2" s="6" t="s">
        <v>104</v>
      </c>
      <c r="R2" s="6" t="s">
        <v>104</v>
      </c>
      <c r="S2" s="6" t="s">
        <v>104</v>
      </c>
      <c r="T2" s="6">
        <v>40</v>
      </c>
      <c r="U2" s="6" t="s">
        <v>104</v>
      </c>
      <c r="V2" s="6" t="s">
        <v>104</v>
      </c>
      <c r="W2" s="6">
        <v>41</v>
      </c>
      <c r="X2" s="6" t="s">
        <v>104</v>
      </c>
      <c r="Y2" s="6" t="s">
        <v>104</v>
      </c>
      <c r="Z2" s="6">
        <v>40.9</v>
      </c>
      <c r="AA2" s="6">
        <v>39.9</v>
      </c>
      <c r="AB2" s="6" t="s">
        <v>104</v>
      </c>
      <c r="AC2" s="6" t="s">
        <v>104</v>
      </c>
      <c r="AD2" s="6">
        <v>38.700000000000003</v>
      </c>
      <c r="AE2" s="6" t="s">
        <v>104</v>
      </c>
    </row>
    <row r="3" spans="1:31" s="12" customFormat="1" ht="13" x14ac:dyDescent="0.15">
      <c r="A3" s="5">
        <v>2</v>
      </c>
      <c r="B3" s="16" t="s">
        <v>142</v>
      </c>
      <c r="C3" s="7">
        <v>45319</v>
      </c>
      <c r="D3" s="6">
        <v>37.9</v>
      </c>
      <c r="E3" s="6" t="s">
        <v>104</v>
      </c>
      <c r="F3" s="6" t="s">
        <v>104</v>
      </c>
      <c r="G3" s="6" t="s">
        <v>104</v>
      </c>
      <c r="H3" s="6" t="s">
        <v>104</v>
      </c>
      <c r="I3" s="6" t="s">
        <v>104</v>
      </c>
      <c r="J3" s="6" t="s">
        <v>104</v>
      </c>
      <c r="K3" s="6" t="s">
        <v>104</v>
      </c>
      <c r="L3" s="6">
        <v>40.5</v>
      </c>
      <c r="M3" s="6" t="s">
        <v>104</v>
      </c>
      <c r="N3" s="6">
        <v>42.3</v>
      </c>
      <c r="O3" s="6">
        <v>38.200000000000003</v>
      </c>
      <c r="P3" s="6" t="s">
        <v>104</v>
      </c>
      <c r="Q3" s="6" t="s">
        <v>104</v>
      </c>
      <c r="R3" s="6" t="s">
        <v>104</v>
      </c>
      <c r="S3" s="6" t="s">
        <v>104</v>
      </c>
      <c r="T3" s="6">
        <v>40.299999999999997</v>
      </c>
      <c r="U3" s="6" t="s">
        <v>104</v>
      </c>
      <c r="V3" s="6" t="s">
        <v>104</v>
      </c>
      <c r="W3" s="6" t="s">
        <v>104</v>
      </c>
      <c r="X3" s="6">
        <v>41.9</v>
      </c>
      <c r="Y3" s="6" t="s">
        <v>104</v>
      </c>
      <c r="Z3" s="6">
        <v>37.4</v>
      </c>
      <c r="AA3" s="6" t="s">
        <v>104</v>
      </c>
      <c r="AB3" s="6" t="s">
        <v>104</v>
      </c>
      <c r="AC3" s="6" t="s">
        <v>104</v>
      </c>
      <c r="AD3" s="6">
        <v>38.9</v>
      </c>
      <c r="AE3" s="6" t="s">
        <v>104</v>
      </c>
    </row>
    <row r="4" spans="1:31" s="12" customFormat="1" ht="13" x14ac:dyDescent="0.15">
      <c r="A4" s="5">
        <v>3</v>
      </c>
      <c r="B4" s="8" t="s">
        <v>141</v>
      </c>
      <c r="C4" s="7">
        <v>45322</v>
      </c>
      <c r="D4" s="11">
        <v>35.4</v>
      </c>
      <c r="E4" s="6" t="s">
        <v>104</v>
      </c>
      <c r="F4" s="11">
        <v>41.2</v>
      </c>
      <c r="G4" s="6" t="s">
        <v>104</v>
      </c>
      <c r="H4" s="6" t="s">
        <v>104</v>
      </c>
      <c r="I4" s="6" t="s">
        <v>104</v>
      </c>
      <c r="J4" s="6" t="s">
        <v>104</v>
      </c>
      <c r="K4" s="6" t="s">
        <v>104</v>
      </c>
      <c r="L4" s="11">
        <v>38.200000000000003</v>
      </c>
      <c r="M4" s="11">
        <v>40</v>
      </c>
      <c r="N4" s="11">
        <v>38.700000000000003</v>
      </c>
      <c r="O4" s="11">
        <v>39.200000000000003</v>
      </c>
      <c r="P4" s="6" t="s">
        <v>104</v>
      </c>
      <c r="Q4" s="6" t="s">
        <v>104</v>
      </c>
      <c r="R4" s="6" t="s">
        <v>104</v>
      </c>
      <c r="S4" s="6" t="s">
        <v>104</v>
      </c>
      <c r="T4" s="11">
        <v>38.200000000000003</v>
      </c>
      <c r="U4" s="6" t="s">
        <v>104</v>
      </c>
      <c r="V4" s="6" t="s">
        <v>104</v>
      </c>
      <c r="W4" s="6" t="s">
        <v>104</v>
      </c>
      <c r="X4" s="6" t="s">
        <v>104</v>
      </c>
      <c r="Y4" s="6" t="s">
        <v>104</v>
      </c>
      <c r="Z4" s="11">
        <v>37.799999999999997</v>
      </c>
      <c r="AA4" s="11">
        <v>38</v>
      </c>
      <c r="AB4" s="6" t="s">
        <v>104</v>
      </c>
      <c r="AC4" s="6" t="s">
        <v>104</v>
      </c>
      <c r="AD4" s="11">
        <v>39.6</v>
      </c>
      <c r="AE4" s="6" t="s">
        <v>104</v>
      </c>
    </row>
    <row r="5" spans="1:31" s="12" customFormat="1" ht="13" x14ac:dyDescent="0.15">
      <c r="A5" s="5">
        <v>4</v>
      </c>
      <c r="B5" s="16" t="s">
        <v>140</v>
      </c>
      <c r="C5" s="7">
        <v>45326</v>
      </c>
      <c r="D5" s="6">
        <v>37.9</v>
      </c>
      <c r="E5" s="6" t="s">
        <v>104</v>
      </c>
      <c r="F5" s="6" t="s">
        <v>104</v>
      </c>
      <c r="G5" s="6" t="s">
        <v>104</v>
      </c>
      <c r="H5" s="6" t="s">
        <v>104</v>
      </c>
      <c r="I5" s="6" t="s">
        <v>104</v>
      </c>
      <c r="J5" s="6" t="s">
        <v>104</v>
      </c>
      <c r="K5" s="6" t="s">
        <v>104</v>
      </c>
      <c r="L5" s="6">
        <v>39</v>
      </c>
      <c r="M5" s="6" t="s">
        <v>104</v>
      </c>
      <c r="N5" s="6" t="s">
        <v>104</v>
      </c>
      <c r="O5" s="6" t="s">
        <v>104</v>
      </c>
      <c r="P5" s="6" t="s">
        <v>104</v>
      </c>
      <c r="Q5" s="6" t="s">
        <v>104</v>
      </c>
      <c r="R5" s="6" t="s">
        <v>104</v>
      </c>
      <c r="S5" s="6" t="s">
        <v>104</v>
      </c>
      <c r="T5" s="6">
        <v>39.6</v>
      </c>
      <c r="U5" s="6" t="s">
        <v>104</v>
      </c>
      <c r="V5" s="6" t="s">
        <v>104</v>
      </c>
      <c r="W5" s="6" t="s">
        <v>104</v>
      </c>
      <c r="X5" s="6" t="s">
        <v>104</v>
      </c>
      <c r="Y5" s="6" t="s">
        <v>104</v>
      </c>
      <c r="Z5" s="6">
        <v>41.8</v>
      </c>
      <c r="AA5" s="6" t="s">
        <v>104</v>
      </c>
      <c r="AB5" s="6" t="s">
        <v>104</v>
      </c>
      <c r="AC5" s="6" t="s">
        <v>104</v>
      </c>
      <c r="AD5" s="6">
        <v>38.5</v>
      </c>
      <c r="AE5" s="6" t="s">
        <v>104</v>
      </c>
    </row>
    <row r="6" spans="1:31" s="12" customFormat="1" ht="13" x14ac:dyDescent="0.15">
      <c r="A6" s="5">
        <v>5</v>
      </c>
      <c r="B6" s="16" t="s">
        <v>139</v>
      </c>
      <c r="C6" s="7">
        <v>45329</v>
      </c>
      <c r="D6" s="6" t="s">
        <v>104</v>
      </c>
      <c r="E6" s="6" t="s">
        <v>104</v>
      </c>
      <c r="F6" s="6" t="s">
        <v>104</v>
      </c>
      <c r="G6" s="6" t="s">
        <v>104</v>
      </c>
      <c r="H6" s="6" t="s">
        <v>104</v>
      </c>
      <c r="I6" s="6" t="s">
        <v>104</v>
      </c>
      <c r="J6" s="6" t="s">
        <v>104</v>
      </c>
      <c r="K6" s="6" t="s">
        <v>104</v>
      </c>
      <c r="L6" s="6">
        <v>40</v>
      </c>
      <c r="M6" s="6" t="s">
        <v>104</v>
      </c>
      <c r="N6" s="6" t="s">
        <v>104</v>
      </c>
      <c r="O6" s="6" t="s">
        <v>104</v>
      </c>
      <c r="P6" s="6" t="s">
        <v>104</v>
      </c>
      <c r="Q6" s="6" t="s">
        <v>104</v>
      </c>
      <c r="R6" s="6" t="s">
        <v>104</v>
      </c>
      <c r="S6" s="6" t="s">
        <v>104</v>
      </c>
      <c r="T6" s="6">
        <v>40.6</v>
      </c>
      <c r="U6" s="6">
        <v>40</v>
      </c>
      <c r="V6" s="6" t="s">
        <v>104</v>
      </c>
      <c r="W6" s="6" t="s">
        <v>104</v>
      </c>
      <c r="X6" s="6" t="s">
        <v>104</v>
      </c>
      <c r="Y6" s="6" t="s">
        <v>104</v>
      </c>
      <c r="Z6" s="6">
        <v>40.700000000000003</v>
      </c>
      <c r="AA6" s="6" t="s">
        <v>104</v>
      </c>
      <c r="AB6" s="6" t="s">
        <v>104</v>
      </c>
      <c r="AC6" s="6" t="s">
        <v>104</v>
      </c>
      <c r="AD6" s="6" t="s">
        <v>104</v>
      </c>
      <c r="AE6" s="6" t="s">
        <v>104</v>
      </c>
    </row>
    <row r="7" spans="1:31" s="12" customFormat="1" ht="13" x14ac:dyDescent="0.15">
      <c r="A7" s="5">
        <v>6</v>
      </c>
      <c r="B7" s="16" t="s">
        <v>138</v>
      </c>
      <c r="C7" s="7">
        <v>45333</v>
      </c>
      <c r="D7" s="6">
        <v>38.9</v>
      </c>
      <c r="E7" s="6">
        <v>39.5</v>
      </c>
      <c r="F7" s="6" t="s">
        <v>104</v>
      </c>
      <c r="G7" s="6" t="s">
        <v>104</v>
      </c>
      <c r="H7" s="6" t="s">
        <v>104</v>
      </c>
      <c r="I7" s="6" t="s">
        <v>104</v>
      </c>
      <c r="J7" s="6" t="s">
        <v>104</v>
      </c>
      <c r="K7" s="6" t="s">
        <v>104</v>
      </c>
      <c r="L7" s="6" t="s">
        <v>104</v>
      </c>
      <c r="M7" s="6" t="s">
        <v>104</v>
      </c>
      <c r="N7" s="6">
        <v>42.5</v>
      </c>
      <c r="O7" s="6">
        <v>39.4</v>
      </c>
      <c r="P7" s="6" t="s">
        <v>104</v>
      </c>
      <c r="Q7" s="6" t="s">
        <v>104</v>
      </c>
      <c r="R7" s="6" t="s">
        <v>104</v>
      </c>
      <c r="S7" s="6" t="s">
        <v>104</v>
      </c>
      <c r="T7" s="6">
        <v>39.200000000000003</v>
      </c>
      <c r="U7" s="6" t="s">
        <v>104</v>
      </c>
      <c r="V7" s="6" t="s">
        <v>104</v>
      </c>
      <c r="W7" s="6" t="s">
        <v>104</v>
      </c>
      <c r="X7" s="6">
        <v>39.1</v>
      </c>
      <c r="Y7" s="6" t="s">
        <v>104</v>
      </c>
      <c r="Z7" s="6">
        <v>40.1</v>
      </c>
      <c r="AA7" s="6" t="s">
        <v>104</v>
      </c>
      <c r="AB7" s="6">
        <v>41.5</v>
      </c>
      <c r="AC7" s="6" t="s">
        <v>104</v>
      </c>
      <c r="AD7" s="6">
        <v>40.5</v>
      </c>
      <c r="AE7" s="6" t="s">
        <v>104</v>
      </c>
    </row>
    <row r="8" spans="1:31" s="12" customFormat="1" ht="13" x14ac:dyDescent="0.15">
      <c r="A8" s="5">
        <v>7</v>
      </c>
      <c r="B8" s="16" t="s">
        <v>137</v>
      </c>
      <c r="C8" s="7">
        <v>45340</v>
      </c>
      <c r="D8" s="6">
        <v>40.299999999999997</v>
      </c>
      <c r="E8" s="6" t="s">
        <v>104</v>
      </c>
      <c r="F8" s="6" t="s">
        <v>104</v>
      </c>
      <c r="G8" s="6" t="s">
        <v>104</v>
      </c>
      <c r="H8" s="6" t="s">
        <v>104</v>
      </c>
      <c r="I8" s="6" t="s">
        <v>104</v>
      </c>
      <c r="J8" s="6" t="s">
        <v>104</v>
      </c>
      <c r="K8" s="6" t="s">
        <v>104</v>
      </c>
      <c r="L8" s="6">
        <v>40.299999999999997</v>
      </c>
      <c r="M8" s="6" t="s">
        <v>104</v>
      </c>
      <c r="N8" s="6">
        <v>39.6</v>
      </c>
      <c r="O8" s="6">
        <v>39.299999999999997</v>
      </c>
      <c r="P8" s="6" t="s">
        <v>104</v>
      </c>
      <c r="Q8" s="6" t="s">
        <v>104</v>
      </c>
      <c r="R8" s="6" t="s">
        <v>104</v>
      </c>
      <c r="S8" s="6" t="s">
        <v>104</v>
      </c>
      <c r="T8" s="6" t="s">
        <v>104</v>
      </c>
      <c r="U8" s="6" t="s">
        <v>104</v>
      </c>
      <c r="V8" s="6" t="s">
        <v>104</v>
      </c>
      <c r="W8" s="6" t="s">
        <v>104</v>
      </c>
      <c r="X8" s="6">
        <v>40.6</v>
      </c>
      <c r="Y8" s="6" t="s">
        <v>104</v>
      </c>
      <c r="Z8" s="6">
        <v>38.299999999999997</v>
      </c>
      <c r="AA8" s="6">
        <v>40.1</v>
      </c>
      <c r="AB8" s="6" t="s">
        <v>104</v>
      </c>
      <c r="AC8" s="6" t="s">
        <v>104</v>
      </c>
      <c r="AD8" s="6" t="s">
        <v>104</v>
      </c>
      <c r="AE8" s="6" t="s">
        <v>104</v>
      </c>
    </row>
    <row r="9" spans="1:31" s="12" customFormat="1" ht="13" x14ac:dyDescent="0.15">
      <c r="A9" s="5">
        <v>8</v>
      </c>
      <c r="B9" s="16" t="s">
        <v>136</v>
      </c>
      <c r="C9" s="7">
        <v>45343</v>
      </c>
      <c r="D9" s="6">
        <v>39.1</v>
      </c>
      <c r="E9" s="6" t="s">
        <v>104</v>
      </c>
      <c r="F9" s="6" t="s">
        <v>104</v>
      </c>
      <c r="G9" s="6" t="s">
        <v>104</v>
      </c>
      <c r="H9" s="6" t="s">
        <v>104</v>
      </c>
      <c r="I9" s="6" t="s">
        <v>104</v>
      </c>
      <c r="J9" s="6" t="s">
        <v>104</v>
      </c>
      <c r="K9" s="6" t="s">
        <v>104</v>
      </c>
      <c r="L9" s="6">
        <v>40.1</v>
      </c>
      <c r="M9" s="6">
        <v>39</v>
      </c>
      <c r="N9" s="6" t="s">
        <v>104</v>
      </c>
      <c r="O9" s="6">
        <v>40.5</v>
      </c>
      <c r="P9" s="6" t="s">
        <v>104</v>
      </c>
      <c r="Q9" s="6" t="s">
        <v>104</v>
      </c>
      <c r="R9" s="6" t="s">
        <v>104</v>
      </c>
      <c r="S9" s="6" t="s">
        <v>104</v>
      </c>
      <c r="T9" s="6" t="s">
        <v>104</v>
      </c>
      <c r="U9" s="6" t="s">
        <v>104</v>
      </c>
      <c r="V9" s="6" t="s">
        <v>104</v>
      </c>
      <c r="W9" s="6" t="s">
        <v>104</v>
      </c>
      <c r="X9" s="6" t="s">
        <v>104</v>
      </c>
      <c r="Y9" s="6" t="s">
        <v>104</v>
      </c>
      <c r="Z9" s="6">
        <v>40</v>
      </c>
      <c r="AA9" s="6" t="s">
        <v>104</v>
      </c>
      <c r="AB9" s="6" t="s">
        <v>104</v>
      </c>
      <c r="AC9" s="6" t="s">
        <v>104</v>
      </c>
      <c r="AD9" s="6">
        <v>38</v>
      </c>
      <c r="AE9" s="6" t="s">
        <v>104</v>
      </c>
    </row>
    <row r="10" spans="1:31" s="12" customFormat="1" ht="13" x14ac:dyDescent="0.15">
      <c r="A10" s="5">
        <v>9</v>
      </c>
      <c r="B10" s="16" t="s">
        <v>135</v>
      </c>
      <c r="C10" s="7">
        <v>45347</v>
      </c>
      <c r="D10" s="6">
        <v>39.1</v>
      </c>
      <c r="E10" s="6" t="s">
        <v>104</v>
      </c>
      <c r="F10" s="6" t="s">
        <v>104</v>
      </c>
      <c r="G10" s="6" t="s">
        <v>104</v>
      </c>
      <c r="H10" s="6" t="s">
        <v>104</v>
      </c>
      <c r="I10" s="6" t="s">
        <v>104</v>
      </c>
      <c r="J10" s="6" t="s">
        <v>104</v>
      </c>
      <c r="K10" s="6" t="s">
        <v>104</v>
      </c>
      <c r="L10" s="6">
        <v>40.799999999999997</v>
      </c>
      <c r="M10" s="6" t="s">
        <v>104</v>
      </c>
      <c r="N10" s="6">
        <v>40.119999999999997</v>
      </c>
      <c r="O10" s="6" t="s">
        <v>104</v>
      </c>
      <c r="P10" s="6">
        <v>40</v>
      </c>
      <c r="Q10" s="6" t="s">
        <v>104</v>
      </c>
      <c r="R10" s="6" t="s">
        <v>104</v>
      </c>
      <c r="S10" s="6" t="s">
        <v>104</v>
      </c>
      <c r="T10" s="6">
        <v>39.9</v>
      </c>
      <c r="U10" s="6" t="s">
        <v>104</v>
      </c>
      <c r="V10" s="6" t="s">
        <v>104</v>
      </c>
      <c r="W10" s="6" t="s">
        <v>104</v>
      </c>
      <c r="X10" s="6">
        <v>41.6</v>
      </c>
      <c r="Y10" s="6" t="s">
        <v>104</v>
      </c>
      <c r="Z10" s="6">
        <v>39.5</v>
      </c>
      <c r="AA10" s="6" t="s">
        <v>104</v>
      </c>
      <c r="AB10" s="6" t="s">
        <v>104</v>
      </c>
      <c r="AC10" s="6" t="s">
        <v>104</v>
      </c>
      <c r="AD10" s="6">
        <v>40.9</v>
      </c>
      <c r="AE10" s="6" t="s">
        <v>104</v>
      </c>
    </row>
    <row r="11" spans="1:31" s="12" customFormat="1" ht="13" x14ac:dyDescent="0.15">
      <c r="A11" s="5">
        <v>10</v>
      </c>
      <c r="B11" s="8" t="s">
        <v>134</v>
      </c>
      <c r="C11" s="7">
        <v>45350</v>
      </c>
      <c r="D11" s="8">
        <v>37.6</v>
      </c>
      <c r="E11" s="6" t="s">
        <v>104</v>
      </c>
      <c r="F11" s="6" t="s">
        <v>104</v>
      </c>
      <c r="G11" s="6" t="s">
        <v>104</v>
      </c>
      <c r="H11" s="6" t="s">
        <v>104</v>
      </c>
      <c r="I11" s="6" t="s">
        <v>104</v>
      </c>
      <c r="J11" s="6" t="s">
        <v>104</v>
      </c>
      <c r="K11" s="6" t="s">
        <v>104</v>
      </c>
      <c r="L11" s="8">
        <v>39.1</v>
      </c>
      <c r="M11" s="8">
        <v>38.799999999999997</v>
      </c>
      <c r="N11" s="8">
        <v>39.6</v>
      </c>
      <c r="O11" s="8">
        <v>40.799999999999997</v>
      </c>
      <c r="P11" s="6" t="s">
        <v>104</v>
      </c>
      <c r="Q11" s="6" t="s">
        <v>104</v>
      </c>
      <c r="R11" s="6" t="s">
        <v>104</v>
      </c>
      <c r="S11" s="6" t="s">
        <v>104</v>
      </c>
      <c r="T11" s="8">
        <v>37.200000000000003</v>
      </c>
      <c r="U11" s="6" t="s">
        <v>104</v>
      </c>
      <c r="V11" s="8">
        <v>30.5</v>
      </c>
      <c r="W11" s="6" t="s">
        <v>104</v>
      </c>
      <c r="X11" s="8">
        <v>41.2</v>
      </c>
      <c r="Y11" s="6" t="s">
        <v>104</v>
      </c>
      <c r="Z11" s="8">
        <v>38.299999999999997</v>
      </c>
      <c r="AA11" s="8">
        <v>40.6</v>
      </c>
      <c r="AB11" s="6" t="s">
        <v>104</v>
      </c>
      <c r="AC11" s="8">
        <v>40.4</v>
      </c>
      <c r="AD11" s="8">
        <v>39.6</v>
      </c>
      <c r="AE11" s="6" t="s">
        <v>104</v>
      </c>
    </row>
    <row r="12" spans="1:31" s="12" customFormat="1" ht="13" x14ac:dyDescent="0.15">
      <c r="A12" s="5">
        <v>11</v>
      </c>
      <c r="B12" s="16" t="s">
        <v>5</v>
      </c>
      <c r="C12" s="7">
        <v>45354</v>
      </c>
      <c r="D12" s="6">
        <v>39.9</v>
      </c>
      <c r="E12" s="6" t="s">
        <v>104</v>
      </c>
      <c r="F12" s="6" t="s">
        <v>104</v>
      </c>
      <c r="G12" s="6" t="s">
        <v>104</v>
      </c>
      <c r="H12" s="6" t="s">
        <v>104</v>
      </c>
      <c r="I12" s="6" t="s">
        <v>104</v>
      </c>
      <c r="J12" s="6" t="s">
        <v>104</v>
      </c>
      <c r="K12" s="6" t="s">
        <v>104</v>
      </c>
      <c r="L12" s="6" t="s">
        <v>104</v>
      </c>
      <c r="M12" s="6" t="s">
        <v>104</v>
      </c>
      <c r="N12" s="6" t="s">
        <v>104</v>
      </c>
      <c r="O12" s="6" t="s">
        <v>104</v>
      </c>
      <c r="P12" s="6" t="s">
        <v>104</v>
      </c>
      <c r="Q12" s="6" t="s">
        <v>104</v>
      </c>
      <c r="R12" s="6" t="s">
        <v>104</v>
      </c>
      <c r="S12" s="6" t="s">
        <v>104</v>
      </c>
      <c r="T12" s="6" t="s">
        <v>104</v>
      </c>
      <c r="U12" s="6" t="s">
        <v>104</v>
      </c>
      <c r="V12" s="6">
        <v>41.2</v>
      </c>
      <c r="W12" s="6" t="s">
        <v>104</v>
      </c>
      <c r="X12" s="6">
        <v>42.8</v>
      </c>
      <c r="Y12" s="6" t="s">
        <v>104</v>
      </c>
      <c r="Z12" s="6">
        <v>41.1</v>
      </c>
      <c r="AA12" s="6" t="s">
        <v>104</v>
      </c>
      <c r="AB12" s="6" t="s">
        <v>104</v>
      </c>
      <c r="AC12" s="6" t="s">
        <v>104</v>
      </c>
      <c r="AD12" s="6" t="s">
        <v>104</v>
      </c>
      <c r="AE12" s="6" t="s">
        <v>104</v>
      </c>
    </row>
    <row r="13" spans="1:31" s="12" customFormat="1" ht="13" x14ac:dyDescent="0.15">
      <c r="A13" s="5">
        <v>12</v>
      </c>
      <c r="B13" s="16" t="s">
        <v>6</v>
      </c>
      <c r="C13" s="7">
        <v>45357</v>
      </c>
      <c r="D13" s="6" t="s">
        <v>104</v>
      </c>
      <c r="E13" s="6" t="s">
        <v>104</v>
      </c>
      <c r="F13" s="6" t="s">
        <v>104</v>
      </c>
      <c r="G13" s="6" t="s">
        <v>104</v>
      </c>
      <c r="H13" s="6" t="s">
        <v>104</v>
      </c>
      <c r="I13" s="6" t="s">
        <v>104</v>
      </c>
      <c r="J13" s="6" t="s">
        <v>104</v>
      </c>
      <c r="K13" s="6" t="s">
        <v>104</v>
      </c>
      <c r="L13" s="6">
        <v>41</v>
      </c>
      <c r="M13" s="6" t="s">
        <v>104</v>
      </c>
      <c r="N13" s="6" t="s">
        <v>104</v>
      </c>
      <c r="O13" s="6" t="s">
        <v>104</v>
      </c>
      <c r="P13" s="6" t="s">
        <v>104</v>
      </c>
      <c r="Q13" s="6" t="s">
        <v>104</v>
      </c>
      <c r="R13" s="6" t="s">
        <v>104</v>
      </c>
      <c r="S13" s="6" t="s">
        <v>104</v>
      </c>
      <c r="T13" s="6">
        <v>35.5</v>
      </c>
      <c r="U13" s="6" t="s">
        <v>104</v>
      </c>
      <c r="V13" s="6" t="s">
        <v>104</v>
      </c>
      <c r="W13" s="6" t="s">
        <v>104</v>
      </c>
      <c r="X13" s="6" t="s">
        <v>104</v>
      </c>
      <c r="Y13" s="6" t="s">
        <v>104</v>
      </c>
      <c r="Z13" s="6">
        <v>39.299999999999997</v>
      </c>
      <c r="AA13" s="6" t="s">
        <v>104</v>
      </c>
      <c r="AB13" s="6" t="s">
        <v>104</v>
      </c>
      <c r="AC13" s="6" t="s">
        <v>104</v>
      </c>
      <c r="AD13" s="6">
        <v>39</v>
      </c>
      <c r="AE13" s="6" t="s">
        <v>104</v>
      </c>
    </row>
    <row r="14" spans="1:31" s="12" customFormat="1" ht="13" x14ac:dyDescent="0.15">
      <c r="A14" s="5">
        <v>13</v>
      </c>
      <c r="B14" s="16" t="s">
        <v>7</v>
      </c>
      <c r="C14" s="7">
        <v>45361</v>
      </c>
      <c r="D14" s="6" t="s">
        <v>104</v>
      </c>
      <c r="E14" s="6" t="s">
        <v>104</v>
      </c>
      <c r="F14" s="6" t="s">
        <v>104</v>
      </c>
      <c r="G14" s="6" t="s">
        <v>104</v>
      </c>
      <c r="H14" s="6" t="s">
        <v>104</v>
      </c>
      <c r="I14" s="6" t="s">
        <v>104</v>
      </c>
      <c r="J14" s="6" t="s">
        <v>104</v>
      </c>
      <c r="K14" s="6" t="s">
        <v>104</v>
      </c>
      <c r="L14" s="6" t="s">
        <v>104</v>
      </c>
      <c r="M14" s="6" t="s">
        <v>104</v>
      </c>
      <c r="N14" s="6" t="s">
        <v>104</v>
      </c>
      <c r="O14" s="6" t="s">
        <v>104</v>
      </c>
      <c r="P14" s="6" t="s">
        <v>104</v>
      </c>
      <c r="Q14" s="6" t="s">
        <v>104</v>
      </c>
      <c r="R14" s="6" t="s">
        <v>104</v>
      </c>
      <c r="S14" s="6" t="s">
        <v>104</v>
      </c>
      <c r="T14" s="6">
        <v>41.4</v>
      </c>
      <c r="U14" s="6" t="s">
        <v>104</v>
      </c>
      <c r="V14" s="6" t="s">
        <v>104</v>
      </c>
      <c r="W14" s="6" t="s">
        <v>104</v>
      </c>
      <c r="X14" s="6" t="s">
        <v>104</v>
      </c>
      <c r="Y14" s="6" t="s">
        <v>104</v>
      </c>
      <c r="Z14" s="6">
        <v>39.799999999999997</v>
      </c>
      <c r="AA14" s="6" t="s">
        <v>104</v>
      </c>
      <c r="AB14" s="6" t="s">
        <v>104</v>
      </c>
      <c r="AC14" s="6" t="s">
        <v>104</v>
      </c>
      <c r="AD14" s="6" t="s">
        <v>104</v>
      </c>
      <c r="AE14" s="6" t="s">
        <v>104</v>
      </c>
    </row>
    <row r="15" spans="1:31" s="12" customFormat="1" ht="13" x14ac:dyDescent="0.15">
      <c r="A15" s="5">
        <v>14</v>
      </c>
      <c r="B15" s="16" t="s">
        <v>8</v>
      </c>
      <c r="C15" s="7">
        <v>45368</v>
      </c>
      <c r="D15" s="6">
        <v>38.9</v>
      </c>
      <c r="E15" s="6" t="s">
        <v>104</v>
      </c>
      <c r="F15" s="6" t="s">
        <v>104</v>
      </c>
      <c r="G15" s="6" t="s">
        <v>104</v>
      </c>
      <c r="H15" s="6" t="s">
        <v>104</v>
      </c>
      <c r="I15" s="6" t="s">
        <v>104</v>
      </c>
      <c r="J15" s="6" t="s">
        <v>104</v>
      </c>
      <c r="K15" s="6" t="s">
        <v>104</v>
      </c>
      <c r="L15" s="6" t="s">
        <v>104</v>
      </c>
      <c r="M15" s="6" t="s">
        <v>104</v>
      </c>
      <c r="N15" s="6">
        <v>39.299999999999997</v>
      </c>
      <c r="O15" s="6" t="s">
        <v>104</v>
      </c>
      <c r="P15" s="6" t="s">
        <v>104</v>
      </c>
      <c r="Q15" s="6" t="s">
        <v>104</v>
      </c>
      <c r="R15" s="6" t="s">
        <v>104</v>
      </c>
      <c r="S15" s="6" t="s">
        <v>104</v>
      </c>
      <c r="T15" s="6" t="s">
        <v>104</v>
      </c>
      <c r="U15" s="6" t="s">
        <v>104</v>
      </c>
      <c r="V15" s="6">
        <v>42.5</v>
      </c>
      <c r="W15" s="6" t="s">
        <v>104</v>
      </c>
      <c r="X15" s="6" t="s">
        <v>104</v>
      </c>
      <c r="Y15" s="6" t="s">
        <v>104</v>
      </c>
      <c r="Z15" s="6">
        <v>39.1</v>
      </c>
      <c r="AA15" s="6" t="s">
        <v>104</v>
      </c>
      <c r="AB15" s="6" t="s">
        <v>104</v>
      </c>
      <c r="AC15" s="6" t="s">
        <v>104</v>
      </c>
      <c r="AD15" s="6">
        <v>40.4</v>
      </c>
      <c r="AE15" s="6" t="s">
        <v>104</v>
      </c>
    </row>
    <row r="16" spans="1:31" s="12" customFormat="1" ht="13" x14ac:dyDescent="0.15">
      <c r="A16" s="5">
        <v>15</v>
      </c>
      <c r="B16" s="8" t="s">
        <v>133</v>
      </c>
      <c r="C16" s="7">
        <v>45371</v>
      </c>
      <c r="D16" s="6" t="s">
        <v>104</v>
      </c>
      <c r="E16" s="6" t="s">
        <v>104</v>
      </c>
      <c r="F16" s="6" t="s">
        <v>104</v>
      </c>
      <c r="G16" s="6" t="s">
        <v>104</v>
      </c>
      <c r="H16" s="6" t="s">
        <v>104</v>
      </c>
      <c r="I16" s="6" t="s">
        <v>104</v>
      </c>
      <c r="J16" s="6" t="s">
        <v>104</v>
      </c>
      <c r="K16" s="6" t="s">
        <v>104</v>
      </c>
      <c r="L16" s="8">
        <v>39.4</v>
      </c>
      <c r="M16" s="6" t="s">
        <v>104</v>
      </c>
      <c r="N16" s="8">
        <v>42</v>
      </c>
      <c r="O16" s="8">
        <v>40.299999999999997</v>
      </c>
      <c r="P16" s="6" t="s">
        <v>104</v>
      </c>
      <c r="Q16" s="6" t="s">
        <v>104</v>
      </c>
      <c r="R16" s="6" t="s">
        <v>104</v>
      </c>
      <c r="S16" s="6" t="s">
        <v>104</v>
      </c>
      <c r="T16" s="8">
        <v>37.6</v>
      </c>
      <c r="U16" s="6" t="s">
        <v>104</v>
      </c>
      <c r="V16" s="6" t="s">
        <v>104</v>
      </c>
      <c r="W16" s="6" t="s">
        <v>104</v>
      </c>
      <c r="X16" s="6" t="s">
        <v>104</v>
      </c>
      <c r="Y16" s="6" t="s">
        <v>104</v>
      </c>
      <c r="Z16" s="8">
        <v>37.9</v>
      </c>
      <c r="AA16" s="6" t="s">
        <v>104</v>
      </c>
      <c r="AB16" s="6" t="s">
        <v>104</v>
      </c>
      <c r="AC16" s="6" t="s">
        <v>104</v>
      </c>
      <c r="AD16" s="6" t="s">
        <v>104</v>
      </c>
      <c r="AE16" s="6" t="s">
        <v>104</v>
      </c>
    </row>
    <row r="17" spans="1:31" s="12" customFormat="1" ht="13" x14ac:dyDescent="0.15">
      <c r="A17" s="5">
        <v>16</v>
      </c>
      <c r="B17" s="16" t="s">
        <v>9</v>
      </c>
      <c r="C17" s="7">
        <v>45375</v>
      </c>
      <c r="D17" s="6" t="s">
        <v>104</v>
      </c>
      <c r="E17" s="6" t="s">
        <v>104</v>
      </c>
      <c r="F17" s="6" t="s">
        <v>104</v>
      </c>
      <c r="G17" s="6" t="s">
        <v>104</v>
      </c>
      <c r="H17" s="6" t="s">
        <v>104</v>
      </c>
      <c r="I17" s="6" t="s">
        <v>104</v>
      </c>
      <c r="J17" s="6" t="s">
        <v>104</v>
      </c>
      <c r="K17" s="6" t="s">
        <v>104</v>
      </c>
      <c r="L17" s="6">
        <v>39.299999999999997</v>
      </c>
      <c r="M17" s="6" t="s">
        <v>104</v>
      </c>
      <c r="N17" s="6" t="s">
        <v>104</v>
      </c>
      <c r="O17" s="6">
        <v>39.799999999999997</v>
      </c>
      <c r="P17" s="6" t="s">
        <v>104</v>
      </c>
      <c r="Q17" s="6" t="s">
        <v>104</v>
      </c>
      <c r="R17" s="6" t="s">
        <v>104</v>
      </c>
      <c r="S17" s="6" t="s">
        <v>104</v>
      </c>
      <c r="T17" s="6">
        <v>38.799999999999997</v>
      </c>
      <c r="U17" s="6" t="s">
        <v>104</v>
      </c>
      <c r="V17" s="6">
        <v>38</v>
      </c>
      <c r="W17" s="6" t="s">
        <v>104</v>
      </c>
      <c r="X17" s="6" t="s">
        <v>104</v>
      </c>
      <c r="Y17" s="6" t="s">
        <v>104</v>
      </c>
      <c r="Z17" s="6">
        <v>39.6</v>
      </c>
      <c r="AA17" s="6">
        <v>40.799999999999997</v>
      </c>
      <c r="AB17" s="6" t="s">
        <v>104</v>
      </c>
      <c r="AC17" s="6" t="s">
        <v>104</v>
      </c>
      <c r="AD17" s="6">
        <v>38.5</v>
      </c>
      <c r="AE17" s="6" t="s">
        <v>104</v>
      </c>
    </row>
    <row r="18" spans="1:31" s="12" customFormat="1" ht="13" x14ac:dyDescent="0.15">
      <c r="A18" s="5">
        <v>17</v>
      </c>
      <c r="B18" s="16" t="s">
        <v>10</v>
      </c>
      <c r="C18" s="7">
        <v>45378</v>
      </c>
      <c r="D18" s="6">
        <v>38</v>
      </c>
      <c r="E18" s="6" t="s">
        <v>104</v>
      </c>
      <c r="F18" s="6" t="s">
        <v>104</v>
      </c>
      <c r="G18" s="6" t="s">
        <v>104</v>
      </c>
      <c r="H18" s="6" t="s">
        <v>104</v>
      </c>
      <c r="I18" s="6" t="s">
        <v>104</v>
      </c>
      <c r="J18" s="6" t="s">
        <v>104</v>
      </c>
      <c r="K18" s="6" t="s">
        <v>104</v>
      </c>
      <c r="L18" s="6" t="s">
        <v>104</v>
      </c>
      <c r="M18" s="6" t="s">
        <v>104</v>
      </c>
      <c r="N18" s="6" t="s">
        <v>104</v>
      </c>
      <c r="O18" s="6" t="s">
        <v>104</v>
      </c>
      <c r="P18" s="6" t="s">
        <v>104</v>
      </c>
      <c r="Q18" s="6" t="s">
        <v>104</v>
      </c>
      <c r="R18" s="6" t="s">
        <v>104</v>
      </c>
      <c r="S18" s="6" t="s">
        <v>104</v>
      </c>
      <c r="T18" s="6">
        <v>39.799999999999997</v>
      </c>
      <c r="U18" s="6" t="s">
        <v>104</v>
      </c>
      <c r="V18" s="6">
        <v>42.8</v>
      </c>
      <c r="W18" s="6" t="s">
        <v>104</v>
      </c>
      <c r="X18" s="6">
        <v>42.9</v>
      </c>
      <c r="Y18" s="6" t="s">
        <v>104</v>
      </c>
      <c r="Z18" s="6">
        <v>43</v>
      </c>
      <c r="AA18" s="6" t="s">
        <v>104</v>
      </c>
      <c r="AB18" s="6" t="s">
        <v>104</v>
      </c>
      <c r="AC18" s="6" t="s">
        <v>104</v>
      </c>
      <c r="AD18" s="6" t="s">
        <v>104</v>
      </c>
      <c r="AE18" s="6" t="s">
        <v>104</v>
      </c>
    </row>
    <row r="19" spans="1:31" s="12" customFormat="1" ht="13" x14ac:dyDescent="0.15">
      <c r="A19" s="5">
        <v>18</v>
      </c>
      <c r="B19" s="16" t="s">
        <v>11</v>
      </c>
      <c r="C19" s="7">
        <v>45382</v>
      </c>
      <c r="D19" s="6" t="s">
        <v>104</v>
      </c>
      <c r="E19" s="6" t="s">
        <v>104</v>
      </c>
      <c r="F19" s="6" t="s">
        <v>104</v>
      </c>
      <c r="G19" s="6" t="s">
        <v>104</v>
      </c>
      <c r="H19" s="6" t="s">
        <v>104</v>
      </c>
      <c r="I19" s="6" t="s">
        <v>104</v>
      </c>
      <c r="J19" s="6" t="s">
        <v>104</v>
      </c>
      <c r="K19" s="6" t="s">
        <v>104</v>
      </c>
      <c r="L19" s="6">
        <v>39.6</v>
      </c>
      <c r="M19" s="6" t="s">
        <v>104</v>
      </c>
      <c r="N19" s="6" t="s">
        <v>104</v>
      </c>
      <c r="O19" s="6" t="s">
        <v>104</v>
      </c>
      <c r="P19" s="6" t="s">
        <v>104</v>
      </c>
      <c r="Q19" s="6" t="s">
        <v>104</v>
      </c>
      <c r="R19" s="6" t="s">
        <v>104</v>
      </c>
      <c r="S19" s="6" t="s">
        <v>104</v>
      </c>
      <c r="T19" s="6" t="s">
        <v>104</v>
      </c>
      <c r="U19" s="6" t="s">
        <v>104</v>
      </c>
      <c r="V19" s="6">
        <v>42.1</v>
      </c>
      <c r="W19" s="6" t="s">
        <v>104</v>
      </c>
      <c r="X19" s="6" t="s">
        <v>104</v>
      </c>
      <c r="Y19" s="6" t="s">
        <v>104</v>
      </c>
      <c r="Z19" s="6">
        <v>40.1</v>
      </c>
      <c r="AA19" s="6" t="s">
        <v>104</v>
      </c>
      <c r="AB19" s="6" t="s">
        <v>104</v>
      </c>
      <c r="AC19" s="6" t="s">
        <v>104</v>
      </c>
      <c r="AD19" s="6" t="s">
        <v>104</v>
      </c>
      <c r="AE19" s="6" t="s">
        <v>104</v>
      </c>
    </row>
    <row r="20" spans="1:31" s="12" customFormat="1" ht="13" x14ac:dyDescent="0.15">
      <c r="A20" s="5">
        <v>19</v>
      </c>
      <c r="B20" s="16" t="s">
        <v>12</v>
      </c>
      <c r="C20" s="7">
        <v>45385</v>
      </c>
      <c r="D20" s="6">
        <v>37.700000000000003</v>
      </c>
      <c r="E20" s="6" t="s">
        <v>104</v>
      </c>
      <c r="F20" s="6" t="s">
        <v>104</v>
      </c>
      <c r="G20" s="6" t="s">
        <v>104</v>
      </c>
      <c r="H20" s="6" t="s">
        <v>104</v>
      </c>
      <c r="I20" s="6" t="s">
        <v>104</v>
      </c>
      <c r="J20" s="6" t="s">
        <v>104</v>
      </c>
      <c r="K20" s="6" t="s">
        <v>104</v>
      </c>
      <c r="L20" s="6">
        <v>38.9</v>
      </c>
      <c r="M20" s="6" t="s">
        <v>104</v>
      </c>
      <c r="N20" s="6">
        <v>41.2</v>
      </c>
      <c r="O20" s="6">
        <v>40.5</v>
      </c>
      <c r="P20" s="6" t="s">
        <v>104</v>
      </c>
      <c r="Q20" s="6" t="s">
        <v>104</v>
      </c>
      <c r="R20" s="6" t="s">
        <v>104</v>
      </c>
      <c r="S20" s="6" t="s">
        <v>104</v>
      </c>
      <c r="T20" s="6">
        <v>40.58</v>
      </c>
      <c r="U20" s="6" t="s">
        <v>104</v>
      </c>
      <c r="V20" s="6">
        <v>40.1</v>
      </c>
      <c r="W20" s="6" t="s">
        <v>104</v>
      </c>
      <c r="X20" s="6" t="s">
        <v>104</v>
      </c>
      <c r="Y20" s="6" t="s">
        <v>104</v>
      </c>
      <c r="Z20" s="6">
        <v>38.5</v>
      </c>
      <c r="AA20" s="6" t="s">
        <v>104</v>
      </c>
      <c r="AB20" s="6" t="s">
        <v>104</v>
      </c>
      <c r="AC20" s="6" t="s">
        <v>104</v>
      </c>
      <c r="AD20" s="6">
        <v>40.700000000000003</v>
      </c>
      <c r="AE20" s="6" t="s">
        <v>104</v>
      </c>
    </row>
    <row r="21" spans="1:31" s="12" customFormat="1" ht="13" x14ac:dyDescent="0.15">
      <c r="A21" s="5">
        <v>20</v>
      </c>
      <c r="B21" s="16" t="s">
        <v>13</v>
      </c>
      <c r="C21" s="7">
        <v>45389</v>
      </c>
      <c r="D21" s="6">
        <v>38.6</v>
      </c>
      <c r="E21" s="6" t="s">
        <v>104</v>
      </c>
      <c r="F21" s="6" t="s">
        <v>104</v>
      </c>
      <c r="G21" s="6" t="s">
        <v>104</v>
      </c>
      <c r="H21" s="6" t="s">
        <v>104</v>
      </c>
      <c r="I21" s="6" t="s">
        <v>104</v>
      </c>
      <c r="J21" s="6" t="s">
        <v>104</v>
      </c>
      <c r="K21" s="6" t="s">
        <v>104</v>
      </c>
      <c r="L21" s="6">
        <v>42.4</v>
      </c>
      <c r="M21" s="6" t="s">
        <v>104</v>
      </c>
      <c r="N21" s="6">
        <v>40.299999999999997</v>
      </c>
      <c r="O21" s="6">
        <v>40.200000000000003</v>
      </c>
      <c r="P21" s="6">
        <v>39.1</v>
      </c>
      <c r="Q21" s="6" t="s">
        <v>104</v>
      </c>
      <c r="R21" s="6" t="s">
        <v>104</v>
      </c>
      <c r="S21" s="6" t="s">
        <v>104</v>
      </c>
      <c r="T21" s="6">
        <v>39.9</v>
      </c>
      <c r="U21" s="6" t="s">
        <v>104</v>
      </c>
      <c r="V21" s="6" t="s">
        <v>104</v>
      </c>
      <c r="W21" s="6" t="s">
        <v>104</v>
      </c>
      <c r="X21" s="6" t="s">
        <v>104</v>
      </c>
      <c r="Y21" s="6" t="s">
        <v>104</v>
      </c>
      <c r="Z21" s="6">
        <v>40.9</v>
      </c>
      <c r="AA21" s="6">
        <v>40.200000000000003</v>
      </c>
      <c r="AB21" s="6" t="s">
        <v>104</v>
      </c>
      <c r="AC21" s="6" t="s">
        <v>104</v>
      </c>
      <c r="AD21" s="6">
        <v>40.200000000000003</v>
      </c>
      <c r="AE21" s="6" t="s">
        <v>104</v>
      </c>
    </row>
    <row r="22" spans="1:31" s="12" customFormat="1" ht="13" x14ac:dyDescent="0.15">
      <c r="A22" s="5">
        <v>21</v>
      </c>
      <c r="B22" s="16" t="s">
        <v>14</v>
      </c>
      <c r="C22" s="7">
        <v>45392</v>
      </c>
      <c r="D22" s="6">
        <v>40.299999999999997</v>
      </c>
      <c r="E22" s="6" t="s">
        <v>104</v>
      </c>
      <c r="F22" s="6" t="s">
        <v>104</v>
      </c>
      <c r="G22" s="6" t="s">
        <v>104</v>
      </c>
      <c r="H22" s="6" t="s">
        <v>104</v>
      </c>
      <c r="I22" s="6" t="s">
        <v>104</v>
      </c>
      <c r="J22" s="6" t="s">
        <v>104</v>
      </c>
      <c r="K22" s="6" t="s">
        <v>104</v>
      </c>
      <c r="L22" s="6" t="s">
        <v>104</v>
      </c>
      <c r="M22" s="6" t="s">
        <v>104</v>
      </c>
      <c r="N22" s="6" t="s">
        <v>104</v>
      </c>
      <c r="O22" s="6" t="s">
        <v>104</v>
      </c>
      <c r="P22" s="6" t="s">
        <v>104</v>
      </c>
      <c r="Q22" s="6">
        <v>41.8</v>
      </c>
      <c r="R22" s="6" t="s">
        <v>104</v>
      </c>
      <c r="S22" s="6" t="s">
        <v>104</v>
      </c>
      <c r="T22" s="6" t="s">
        <v>104</v>
      </c>
      <c r="U22" s="6" t="s">
        <v>104</v>
      </c>
      <c r="V22" s="6">
        <v>41.5</v>
      </c>
      <c r="W22" s="6" t="s">
        <v>104</v>
      </c>
      <c r="X22" s="6" t="s">
        <v>104</v>
      </c>
      <c r="Y22" s="6" t="s">
        <v>104</v>
      </c>
      <c r="Z22" s="6">
        <v>41.1</v>
      </c>
      <c r="AA22" s="6" t="s">
        <v>104</v>
      </c>
      <c r="AB22" s="6" t="s">
        <v>104</v>
      </c>
      <c r="AC22" s="6" t="s">
        <v>104</v>
      </c>
      <c r="AD22" s="6" t="s">
        <v>104</v>
      </c>
      <c r="AE22" s="6" t="s">
        <v>104</v>
      </c>
    </row>
    <row r="23" spans="1:31" s="12" customFormat="1" ht="13" x14ac:dyDescent="0.15">
      <c r="A23" s="5">
        <v>22</v>
      </c>
      <c r="B23" s="16" t="s">
        <v>15</v>
      </c>
      <c r="C23" s="7">
        <v>45396</v>
      </c>
      <c r="D23" s="6">
        <v>37.6</v>
      </c>
      <c r="E23" s="6" t="s">
        <v>104</v>
      </c>
      <c r="F23" s="6">
        <v>39.700000000000003</v>
      </c>
      <c r="G23" s="6" t="s">
        <v>104</v>
      </c>
      <c r="H23" s="6" t="s">
        <v>104</v>
      </c>
      <c r="I23" s="6" t="s">
        <v>104</v>
      </c>
      <c r="J23" s="6" t="s">
        <v>104</v>
      </c>
      <c r="K23" s="6" t="s">
        <v>104</v>
      </c>
      <c r="L23" s="6" t="s">
        <v>104</v>
      </c>
      <c r="M23" s="6" t="s">
        <v>104</v>
      </c>
      <c r="N23" s="6">
        <v>40.4</v>
      </c>
      <c r="O23" s="6">
        <v>41.3</v>
      </c>
      <c r="P23" s="6" t="s">
        <v>104</v>
      </c>
      <c r="Q23" s="6">
        <v>40.700000000000003</v>
      </c>
      <c r="R23" s="6" t="s">
        <v>104</v>
      </c>
      <c r="S23" s="6" t="s">
        <v>104</v>
      </c>
      <c r="T23" s="6">
        <v>38.700000000000003</v>
      </c>
      <c r="U23" s="6" t="s">
        <v>104</v>
      </c>
      <c r="V23" s="6">
        <v>41.4</v>
      </c>
      <c r="W23" s="6" t="s">
        <v>104</v>
      </c>
      <c r="X23" s="6">
        <v>41.2</v>
      </c>
      <c r="Y23" s="6" t="s">
        <v>104</v>
      </c>
      <c r="Z23" s="6">
        <v>38.6</v>
      </c>
      <c r="AA23" s="6" t="s">
        <v>104</v>
      </c>
      <c r="AB23" s="6" t="s">
        <v>104</v>
      </c>
      <c r="AC23" s="6" t="s">
        <v>104</v>
      </c>
      <c r="AD23" s="6">
        <v>39.200000000000003</v>
      </c>
      <c r="AE23" s="6" t="s">
        <v>104</v>
      </c>
    </row>
    <row r="24" spans="1:31" s="12" customFormat="1" ht="13" x14ac:dyDescent="0.15">
      <c r="A24" s="5">
        <v>23</v>
      </c>
      <c r="B24" s="16" t="s">
        <v>16</v>
      </c>
      <c r="C24" s="7">
        <v>45399</v>
      </c>
      <c r="D24" s="6">
        <v>38</v>
      </c>
      <c r="E24" s="6" t="s">
        <v>104</v>
      </c>
      <c r="F24" s="6">
        <v>40.5</v>
      </c>
      <c r="G24" s="6" t="s">
        <v>104</v>
      </c>
      <c r="H24" s="6" t="s">
        <v>104</v>
      </c>
      <c r="I24" s="6" t="s">
        <v>104</v>
      </c>
      <c r="J24" s="6" t="s">
        <v>104</v>
      </c>
      <c r="K24" s="6" t="s">
        <v>104</v>
      </c>
      <c r="L24" s="6">
        <v>39.299999999999997</v>
      </c>
      <c r="M24" s="6" t="s">
        <v>104</v>
      </c>
      <c r="N24" s="6">
        <v>42.3</v>
      </c>
      <c r="O24" s="6">
        <v>40.700000000000003</v>
      </c>
      <c r="P24" s="6" t="s">
        <v>104</v>
      </c>
      <c r="Q24" s="6" t="s">
        <v>104</v>
      </c>
      <c r="R24" s="6" t="s">
        <v>104</v>
      </c>
      <c r="S24" s="6" t="s">
        <v>104</v>
      </c>
      <c r="T24" s="6">
        <v>39.1</v>
      </c>
      <c r="U24" s="6" t="s">
        <v>104</v>
      </c>
      <c r="V24" s="6">
        <v>41</v>
      </c>
      <c r="W24" s="6" t="s">
        <v>104</v>
      </c>
      <c r="X24" s="6" t="s">
        <v>104</v>
      </c>
      <c r="Y24" s="6" t="s">
        <v>104</v>
      </c>
      <c r="Z24" s="6">
        <v>39.1</v>
      </c>
      <c r="AA24" s="6" t="s">
        <v>104</v>
      </c>
      <c r="AB24" s="6" t="s">
        <v>104</v>
      </c>
      <c r="AC24" s="6" t="s">
        <v>104</v>
      </c>
      <c r="AD24" s="6">
        <v>40.5</v>
      </c>
      <c r="AE24" s="6" t="s">
        <v>104</v>
      </c>
    </row>
    <row r="25" spans="1:31" s="12" customFormat="1" ht="13" x14ac:dyDescent="0.15">
      <c r="A25" s="5">
        <v>24</v>
      </c>
      <c r="B25" s="16" t="s">
        <v>17</v>
      </c>
      <c r="C25" s="7">
        <v>45403</v>
      </c>
      <c r="D25" s="6" t="s">
        <v>104</v>
      </c>
      <c r="E25" s="6" t="s">
        <v>104</v>
      </c>
      <c r="F25" s="6" t="s">
        <v>104</v>
      </c>
      <c r="G25" s="6" t="s">
        <v>104</v>
      </c>
      <c r="H25" s="6" t="s">
        <v>104</v>
      </c>
      <c r="I25" s="6" t="s">
        <v>104</v>
      </c>
      <c r="J25" s="6" t="s">
        <v>104</v>
      </c>
      <c r="K25" s="6" t="s">
        <v>104</v>
      </c>
      <c r="L25" s="6" t="s">
        <v>104</v>
      </c>
      <c r="M25" s="6" t="s">
        <v>104</v>
      </c>
      <c r="N25" s="6" t="s">
        <v>104</v>
      </c>
      <c r="O25" s="6" t="s">
        <v>104</v>
      </c>
      <c r="P25" s="6" t="s">
        <v>104</v>
      </c>
      <c r="Q25" s="6" t="s">
        <v>104</v>
      </c>
      <c r="R25" s="6" t="s">
        <v>104</v>
      </c>
      <c r="S25" s="6" t="s">
        <v>104</v>
      </c>
      <c r="T25" s="6" t="s">
        <v>104</v>
      </c>
      <c r="U25" s="6">
        <v>39.799999999999997</v>
      </c>
      <c r="V25" s="6">
        <v>40.5</v>
      </c>
      <c r="W25" s="6" t="s">
        <v>104</v>
      </c>
      <c r="X25" s="6" t="s">
        <v>104</v>
      </c>
      <c r="Y25" s="6" t="s">
        <v>104</v>
      </c>
      <c r="Z25" s="6">
        <v>39.6</v>
      </c>
      <c r="AA25" s="6" t="s">
        <v>104</v>
      </c>
      <c r="AB25" s="6" t="s">
        <v>104</v>
      </c>
      <c r="AC25" s="6" t="s">
        <v>104</v>
      </c>
      <c r="AD25" s="6">
        <v>39.5</v>
      </c>
      <c r="AE25" s="6" t="s">
        <v>104</v>
      </c>
    </row>
    <row r="26" spans="1:31" s="12" customFormat="1" ht="13" x14ac:dyDescent="0.15">
      <c r="A26" s="5">
        <v>25</v>
      </c>
      <c r="B26" s="8" t="s">
        <v>144</v>
      </c>
      <c r="C26" s="7">
        <v>45406</v>
      </c>
      <c r="D26" s="8">
        <v>38</v>
      </c>
      <c r="E26" s="6" t="s">
        <v>104</v>
      </c>
      <c r="F26" s="6" t="s">
        <v>104</v>
      </c>
      <c r="G26" s="6" t="s">
        <v>104</v>
      </c>
      <c r="H26" s="6" t="s">
        <v>104</v>
      </c>
      <c r="I26" s="6" t="s">
        <v>104</v>
      </c>
      <c r="J26" s="6" t="s">
        <v>104</v>
      </c>
      <c r="K26" s="6" t="s">
        <v>104</v>
      </c>
      <c r="L26" s="6" t="s">
        <v>104</v>
      </c>
      <c r="M26" s="6" t="s">
        <v>104</v>
      </c>
      <c r="N26" s="8">
        <v>39.299999999999997</v>
      </c>
      <c r="O26" s="6" t="s">
        <v>104</v>
      </c>
      <c r="P26" s="6" t="s">
        <v>104</v>
      </c>
      <c r="Q26" s="6" t="s">
        <v>104</v>
      </c>
      <c r="R26" s="6" t="s">
        <v>104</v>
      </c>
      <c r="S26" s="6" t="s">
        <v>104</v>
      </c>
      <c r="T26" s="8">
        <v>37.6</v>
      </c>
      <c r="U26" s="6" t="s">
        <v>104</v>
      </c>
      <c r="V26" s="6" t="s">
        <v>104</v>
      </c>
      <c r="W26" s="6" t="s">
        <v>104</v>
      </c>
      <c r="X26" s="6" t="s">
        <v>104</v>
      </c>
      <c r="Y26" s="6" t="s">
        <v>104</v>
      </c>
      <c r="Z26" s="8">
        <v>39.6</v>
      </c>
      <c r="AA26" s="6" t="s">
        <v>104</v>
      </c>
      <c r="AB26" s="6" t="s">
        <v>104</v>
      </c>
      <c r="AC26" s="6" t="s">
        <v>104</v>
      </c>
      <c r="AD26" s="6" t="s">
        <v>104</v>
      </c>
      <c r="AE26" s="6" t="s">
        <v>104</v>
      </c>
    </row>
    <row r="27" spans="1:31" s="12" customFormat="1" ht="13" x14ac:dyDescent="0.15">
      <c r="A27" s="5">
        <v>26</v>
      </c>
      <c r="B27" s="16" t="s">
        <v>18</v>
      </c>
      <c r="C27" s="7">
        <v>45410</v>
      </c>
      <c r="D27" s="6" t="s">
        <v>104</v>
      </c>
      <c r="E27" s="6" t="s">
        <v>104</v>
      </c>
      <c r="F27" s="6" t="s">
        <v>104</v>
      </c>
      <c r="G27" s="6" t="s">
        <v>104</v>
      </c>
      <c r="H27" s="6">
        <v>42.1</v>
      </c>
      <c r="I27" s="6" t="s">
        <v>104</v>
      </c>
      <c r="J27" s="6" t="s">
        <v>104</v>
      </c>
      <c r="K27" s="6" t="s">
        <v>104</v>
      </c>
      <c r="L27" s="6">
        <v>39.6</v>
      </c>
      <c r="M27" s="6" t="s">
        <v>104</v>
      </c>
      <c r="N27" s="6" t="s">
        <v>104</v>
      </c>
      <c r="O27" s="6" t="s">
        <v>104</v>
      </c>
      <c r="P27" s="6" t="s">
        <v>104</v>
      </c>
      <c r="Q27" s="6" t="s">
        <v>104</v>
      </c>
      <c r="R27" s="6" t="s">
        <v>104</v>
      </c>
      <c r="S27" s="6" t="s">
        <v>104</v>
      </c>
      <c r="T27" s="6">
        <v>42</v>
      </c>
      <c r="U27" s="6" t="s">
        <v>104</v>
      </c>
      <c r="V27" s="6">
        <v>41.8</v>
      </c>
      <c r="W27" s="6" t="s">
        <v>104</v>
      </c>
      <c r="X27" s="6" t="s">
        <v>104</v>
      </c>
      <c r="Y27" s="6" t="s">
        <v>104</v>
      </c>
      <c r="Z27" s="6">
        <v>37.4</v>
      </c>
      <c r="AA27" s="6" t="s">
        <v>104</v>
      </c>
      <c r="AB27" s="6" t="s">
        <v>104</v>
      </c>
      <c r="AC27" s="6" t="s">
        <v>104</v>
      </c>
      <c r="AD27" s="6" t="s">
        <v>104</v>
      </c>
      <c r="AE27" s="6" t="s">
        <v>104</v>
      </c>
    </row>
    <row r="28" spans="1:31" s="12" customFormat="1" ht="13" x14ac:dyDescent="0.15">
      <c r="A28" s="5">
        <v>27</v>
      </c>
      <c r="B28" s="16" t="s">
        <v>19</v>
      </c>
      <c r="C28" s="7">
        <v>45413</v>
      </c>
      <c r="D28" s="6">
        <v>39.4</v>
      </c>
      <c r="E28" s="6" t="s">
        <v>104</v>
      </c>
      <c r="F28" s="6">
        <v>39</v>
      </c>
      <c r="G28" s="6" t="s">
        <v>104</v>
      </c>
      <c r="H28" s="6" t="s">
        <v>104</v>
      </c>
      <c r="I28" s="6" t="s">
        <v>104</v>
      </c>
      <c r="J28" s="6" t="s">
        <v>104</v>
      </c>
      <c r="K28" s="6" t="s">
        <v>104</v>
      </c>
      <c r="L28" s="6" t="s">
        <v>104</v>
      </c>
      <c r="M28" s="6" t="s">
        <v>104</v>
      </c>
      <c r="N28" s="6">
        <v>41.8</v>
      </c>
      <c r="O28" s="6">
        <v>41.3</v>
      </c>
      <c r="P28" s="6" t="s">
        <v>104</v>
      </c>
      <c r="Q28" s="6" t="s">
        <v>104</v>
      </c>
      <c r="R28" s="6" t="s">
        <v>104</v>
      </c>
      <c r="S28" s="6" t="s">
        <v>104</v>
      </c>
      <c r="T28" s="6">
        <v>40.700000000000003</v>
      </c>
      <c r="U28" s="6" t="s">
        <v>104</v>
      </c>
      <c r="V28" s="6" t="s">
        <v>104</v>
      </c>
      <c r="W28" s="6" t="s">
        <v>104</v>
      </c>
      <c r="X28" s="6" t="s">
        <v>104</v>
      </c>
      <c r="Y28" s="6" t="s">
        <v>104</v>
      </c>
      <c r="Z28" s="6">
        <v>41.4</v>
      </c>
      <c r="AA28" s="6" t="s">
        <v>104</v>
      </c>
      <c r="AB28" s="6" t="s">
        <v>104</v>
      </c>
      <c r="AC28" s="6" t="s">
        <v>104</v>
      </c>
      <c r="AD28" s="6" t="s">
        <v>104</v>
      </c>
      <c r="AE28" s="6" t="s">
        <v>104</v>
      </c>
    </row>
    <row r="29" spans="1:31" s="12" customFormat="1" ht="13" x14ac:dyDescent="0.15">
      <c r="A29" s="5">
        <v>28</v>
      </c>
      <c r="B29" s="16" t="s">
        <v>20</v>
      </c>
      <c r="C29" s="7">
        <v>45417</v>
      </c>
      <c r="D29" s="6">
        <v>39.799999999999997</v>
      </c>
      <c r="E29" s="6" t="s">
        <v>104</v>
      </c>
      <c r="F29" s="6" t="s">
        <v>104</v>
      </c>
      <c r="G29" s="6" t="s">
        <v>104</v>
      </c>
      <c r="H29" s="6" t="s">
        <v>104</v>
      </c>
      <c r="I29" s="6" t="s">
        <v>104</v>
      </c>
      <c r="J29" s="6" t="s">
        <v>104</v>
      </c>
      <c r="K29" s="6" t="s">
        <v>104</v>
      </c>
      <c r="L29" s="6">
        <v>39.6</v>
      </c>
      <c r="M29" s="6" t="s">
        <v>104</v>
      </c>
      <c r="N29" s="6" t="s">
        <v>104</v>
      </c>
      <c r="O29" s="6">
        <v>41</v>
      </c>
      <c r="P29" s="6" t="s">
        <v>104</v>
      </c>
      <c r="Q29" s="6" t="s">
        <v>104</v>
      </c>
      <c r="R29" s="6" t="s">
        <v>104</v>
      </c>
      <c r="S29" s="6" t="s">
        <v>104</v>
      </c>
      <c r="T29" s="6">
        <v>39.799999999999997</v>
      </c>
      <c r="U29" s="6" t="s">
        <v>104</v>
      </c>
      <c r="V29" s="6">
        <v>41.4</v>
      </c>
      <c r="W29" s="6" t="s">
        <v>104</v>
      </c>
      <c r="X29" s="6" t="s">
        <v>104</v>
      </c>
      <c r="Y29" s="6" t="s">
        <v>104</v>
      </c>
      <c r="Z29" s="6">
        <v>39.6</v>
      </c>
      <c r="AA29" s="6" t="s">
        <v>104</v>
      </c>
      <c r="AB29" s="6" t="s">
        <v>104</v>
      </c>
      <c r="AC29" s="6" t="s">
        <v>104</v>
      </c>
      <c r="AD29" s="6">
        <v>38.6</v>
      </c>
      <c r="AE29" s="6" t="s">
        <v>104</v>
      </c>
    </row>
    <row r="30" spans="1:31" s="12" customFormat="1" ht="13" x14ac:dyDescent="0.15">
      <c r="A30" s="5">
        <v>29</v>
      </c>
      <c r="B30" s="8" t="s">
        <v>145</v>
      </c>
      <c r="C30" s="7">
        <v>45427</v>
      </c>
      <c r="D30" s="6">
        <v>25.1</v>
      </c>
      <c r="E30" s="6">
        <v>30.9</v>
      </c>
      <c r="F30" s="6" t="s">
        <v>104</v>
      </c>
      <c r="G30" s="6" t="s">
        <v>104</v>
      </c>
      <c r="H30" s="6" t="s">
        <v>104</v>
      </c>
      <c r="I30" s="6" t="s">
        <v>104</v>
      </c>
      <c r="J30" s="6" t="s">
        <v>104</v>
      </c>
      <c r="K30" s="6" t="s">
        <v>104</v>
      </c>
      <c r="L30" s="6" t="s">
        <v>104</v>
      </c>
      <c r="M30" s="6" t="s">
        <v>104</v>
      </c>
      <c r="N30" s="6" t="s">
        <v>104</v>
      </c>
      <c r="O30" s="6" t="s">
        <v>104</v>
      </c>
      <c r="P30" s="6" t="s">
        <v>104</v>
      </c>
      <c r="Q30" s="6" t="s">
        <v>104</v>
      </c>
      <c r="R30" s="6">
        <v>20.5</v>
      </c>
      <c r="S30" s="6" t="s">
        <v>104</v>
      </c>
      <c r="T30" s="6">
        <v>27.3</v>
      </c>
      <c r="U30" s="6" t="s">
        <v>104</v>
      </c>
      <c r="V30" s="6">
        <v>23</v>
      </c>
      <c r="W30" s="6" t="s">
        <v>104</v>
      </c>
      <c r="X30" s="6">
        <v>26.6</v>
      </c>
      <c r="Y30" s="6" t="s">
        <v>104</v>
      </c>
      <c r="Z30" s="6" t="s">
        <v>104</v>
      </c>
      <c r="AA30" s="6" t="s">
        <v>104</v>
      </c>
      <c r="AB30" s="6" t="s">
        <v>104</v>
      </c>
      <c r="AC30" s="6" t="s">
        <v>104</v>
      </c>
      <c r="AD30" s="6">
        <v>25.8</v>
      </c>
      <c r="AE30" s="6" t="s">
        <v>104</v>
      </c>
    </row>
    <row r="31" spans="1:31" s="12" customFormat="1" ht="13" x14ac:dyDescent="0.15">
      <c r="A31" s="5">
        <v>30</v>
      </c>
      <c r="B31" s="8" t="s">
        <v>146</v>
      </c>
      <c r="C31" s="7">
        <v>45431</v>
      </c>
      <c r="D31" s="6">
        <v>27.7</v>
      </c>
      <c r="E31" s="6">
        <v>32.799999999999997</v>
      </c>
      <c r="F31" s="6" t="s">
        <v>104</v>
      </c>
      <c r="G31" s="6" t="s">
        <v>104</v>
      </c>
      <c r="H31" s="6" t="s">
        <v>104</v>
      </c>
      <c r="I31" s="6" t="s">
        <v>104</v>
      </c>
      <c r="J31" s="6">
        <v>29</v>
      </c>
      <c r="K31" s="6" t="s">
        <v>104</v>
      </c>
      <c r="L31" s="6" t="s">
        <v>104</v>
      </c>
      <c r="M31" s="6">
        <v>29.4</v>
      </c>
      <c r="N31" s="6" t="s">
        <v>104</v>
      </c>
      <c r="O31" s="6" t="s">
        <v>104</v>
      </c>
      <c r="P31" s="6" t="s">
        <v>104</v>
      </c>
      <c r="Q31" s="6">
        <v>35.9</v>
      </c>
      <c r="R31" s="6" t="s">
        <v>104</v>
      </c>
      <c r="S31" s="6" t="s">
        <v>104</v>
      </c>
      <c r="T31" s="6">
        <v>26.7</v>
      </c>
      <c r="U31" s="6" t="s">
        <v>104</v>
      </c>
      <c r="V31" s="6" t="s">
        <v>104</v>
      </c>
      <c r="W31" s="6" t="s">
        <v>104</v>
      </c>
      <c r="X31" s="6" t="s">
        <v>104</v>
      </c>
      <c r="Y31" s="6" t="s">
        <v>104</v>
      </c>
      <c r="Z31" s="6" t="s">
        <v>104</v>
      </c>
      <c r="AA31" s="6" t="s">
        <v>104</v>
      </c>
      <c r="AB31" s="6" t="s">
        <v>104</v>
      </c>
      <c r="AC31" s="6" t="s">
        <v>104</v>
      </c>
      <c r="AD31" s="6" t="s">
        <v>104</v>
      </c>
      <c r="AE31" s="6">
        <v>27.7</v>
      </c>
    </row>
    <row r="32" spans="1:31" s="12" customFormat="1" ht="13" x14ac:dyDescent="0.15">
      <c r="A32" s="5">
        <v>31</v>
      </c>
      <c r="B32" s="8" t="s">
        <v>147</v>
      </c>
      <c r="C32" s="7">
        <v>45434</v>
      </c>
      <c r="D32" s="6">
        <v>26.3</v>
      </c>
      <c r="E32" s="6" t="s">
        <v>104</v>
      </c>
      <c r="F32" s="6">
        <v>28.9</v>
      </c>
      <c r="G32" s="6" t="s">
        <v>104</v>
      </c>
      <c r="H32" s="6">
        <v>30.5</v>
      </c>
      <c r="I32" s="6">
        <v>33.200000000000003</v>
      </c>
      <c r="J32" s="6">
        <v>23.7</v>
      </c>
      <c r="K32" s="6" t="s">
        <v>104</v>
      </c>
      <c r="L32" s="6" t="s">
        <v>104</v>
      </c>
      <c r="M32" s="6" t="s">
        <v>104</v>
      </c>
      <c r="N32" s="6">
        <v>25.3</v>
      </c>
      <c r="O32" s="6" t="s">
        <v>104</v>
      </c>
      <c r="P32" s="6" t="s">
        <v>104</v>
      </c>
      <c r="Q32" s="6" t="s">
        <v>104</v>
      </c>
      <c r="R32" s="6" t="s">
        <v>104</v>
      </c>
      <c r="S32" s="6" t="s">
        <v>104</v>
      </c>
      <c r="T32" s="6">
        <v>27</v>
      </c>
      <c r="U32" s="6">
        <v>30</v>
      </c>
      <c r="V32" s="6" t="s">
        <v>104</v>
      </c>
      <c r="W32" s="6" t="s">
        <v>104</v>
      </c>
      <c r="X32" s="6" t="s">
        <v>104</v>
      </c>
      <c r="Y32" s="6" t="s">
        <v>104</v>
      </c>
      <c r="Z32" s="6" t="s">
        <v>104</v>
      </c>
      <c r="AA32" s="6" t="s">
        <v>104</v>
      </c>
      <c r="AB32" s="6">
        <v>27</v>
      </c>
      <c r="AC32" s="6">
        <v>30.4</v>
      </c>
      <c r="AD32" s="6">
        <v>27.4</v>
      </c>
      <c r="AE32" s="6">
        <v>26.9</v>
      </c>
    </row>
    <row r="33" spans="1:31" s="12" customFormat="1" ht="13" x14ac:dyDescent="0.15">
      <c r="A33" s="5">
        <v>32</v>
      </c>
      <c r="B33" s="8" t="s">
        <v>148</v>
      </c>
      <c r="C33" s="7">
        <v>45438</v>
      </c>
      <c r="D33" s="6">
        <v>26.9</v>
      </c>
      <c r="E33" s="6" t="s">
        <v>104</v>
      </c>
      <c r="F33" s="6" t="s">
        <v>104</v>
      </c>
      <c r="G33" s="6" t="s">
        <v>104</v>
      </c>
      <c r="H33" s="6" t="s">
        <v>104</v>
      </c>
      <c r="I33" s="6" t="s">
        <v>104</v>
      </c>
      <c r="J33" s="6" t="s">
        <v>104</v>
      </c>
      <c r="K33" s="6" t="s">
        <v>104</v>
      </c>
      <c r="L33" s="6" t="s">
        <v>104</v>
      </c>
      <c r="M33" s="6">
        <v>33.6</v>
      </c>
      <c r="N33" s="6" t="s">
        <v>104</v>
      </c>
      <c r="O33" s="6" t="s">
        <v>104</v>
      </c>
      <c r="P33" s="6" t="s">
        <v>104</v>
      </c>
      <c r="Q33" s="6" t="s">
        <v>104</v>
      </c>
      <c r="R33" s="6" t="s">
        <v>104</v>
      </c>
      <c r="S33" s="6" t="s">
        <v>104</v>
      </c>
      <c r="T33" s="6" t="s">
        <v>104</v>
      </c>
      <c r="U33" s="6" t="s">
        <v>104</v>
      </c>
      <c r="V33" s="6">
        <v>32.1</v>
      </c>
      <c r="W33" s="6" t="s">
        <v>104</v>
      </c>
      <c r="X33" s="6" t="s">
        <v>104</v>
      </c>
      <c r="Y33" s="6" t="s">
        <v>104</v>
      </c>
      <c r="Z33" s="6" t="s">
        <v>104</v>
      </c>
      <c r="AA33" s="6" t="s">
        <v>104</v>
      </c>
      <c r="AB33" s="6" t="s">
        <v>104</v>
      </c>
      <c r="AC33" s="6" t="s">
        <v>104</v>
      </c>
      <c r="AD33" s="6" t="s">
        <v>104</v>
      </c>
      <c r="AE33" s="6" t="s">
        <v>104</v>
      </c>
    </row>
    <row r="34" spans="1:31" s="12" customFormat="1" ht="13" x14ac:dyDescent="0.15">
      <c r="A34" s="5">
        <v>33</v>
      </c>
      <c r="B34" s="8" t="s">
        <v>149</v>
      </c>
      <c r="C34" s="7">
        <v>45441</v>
      </c>
      <c r="D34" s="8">
        <v>39</v>
      </c>
      <c r="E34" s="6" t="s">
        <v>104</v>
      </c>
      <c r="F34" s="6" t="s">
        <v>104</v>
      </c>
      <c r="G34" s="6" t="s">
        <v>104</v>
      </c>
      <c r="H34" s="6" t="s">
        <v>104</v>
      </c>
      <c r="I34" s="6" t="s">
        <v>104</v>
      </c>
      <c r="J34" s="6" t="s">
        <v>104</v>
      </c>
      <c r="K34" s="6" t="s">
        <v>104</v>
      </c>
      <c r="L34" s="6" t="s">
        <v>104</v>
      </c>
      <c r="M34" s="8">
        <v>40.4</v>
      </c>
      <c r="N34" s="8">
        <v>41.4</v>
      </c>
      <c r="O34" s="6" t="s">
        <v>104</v>
      </c>
      <c r="P34" s="6" t="s">
        <v>104</v>
      </c>
      <c r="Q34" s="6" t="s">
        <v>104</v>
      </c>
      <c r="R34" s="8">
        <v>41.3</v>
      </c>
      <c r="S34" s="6" t="s">
        <v>104</v>
      </c>
      <c r="T34" s="8">
        <v>39.700000000000003</v>
      </c>
      <c r="U34" s="6" t="s">
        <v>104</v>
      </c>
      <c r="V34" s="8">
        <v>42.9</v>
      </c>
      <c r="W34" s="6" t="s">
        <v>104</v>
      </c>
      <c r="X34" s="6" t="s">
        <v>104</v>
      </c>
      <c r="Y34" s="6" t="s">
        <v>104</v>
      </c>
      <c r="Z34" s="8">
        <v>38.9</v>
      </c>
      <c r="AA34" s="8">
        <v>39.299999999999997</v>
      </c>
      <c r="AB34" s="6" t="s">
        <v>104</v>
      </c>
      <c r="AC34" s="6" t="s">
        <v>104</v>
      </c>
      <c r="AD34" s="8">
        <v>39.4</v>
      </c>
      <c r="AE34" s="6" t="s">
        <v>104</v>
      </c>
    </row>
    <row r="35" spans="1:31" s="12" customFormat="1" ht="13" x14ac:dyDescent="0.15">
      <c r="A35" s="5">
        <v>34</v>
      </c>
      <c r="B35" s="8" t="s">
        <v>150</v>
      </c>
      <c r="C35" s="7">
        <v>45448</v>
      </c>
      <c r="D35" s="6">
        <v>23.9</v>
      </c>
      <c r="E35" s="6" t="s">
        <v>104</v>
      </c>
      <c r="F35" s="6" t="s">
        <v>104</v>
      </c>
      <c r="G35" s="6" t="s">
        <v>104</v>
      </c>
      <c r="H35" s="6">
        <v>23</v>
      </c>
      <c r="I35" s="6" t="s">
        <v>104</v>
      </c>
      <c r="J35" s="6">
        <v>30.4</v>
      </c>
      <c r="K35" s="6" t="s">
        <v>104</v>
      </c>
      <c r="L35" s="6">
        <v>28.6</v>
      </c>
      <c r="M35" s="6">
        <v>34.299999999999997</v>
      </c>
      <c r="N35" s="6" t="s">
        <v>104</v>
      </c>
      <c r="O35" s="6" t="s">
        <v>104</v>
      </c>
      <c r="P35" s="6" t="s">
        <v>104</v>
      </c>
      <c r="Q35" s="6" t="s">
        <v>104</v>
      </c>
      <c r="R35" s="6" t="s">
        <v>104</v>
      </c>
      <c r="S35" s="6" t="s">
        <v>104</v>
      </c>
      <c r="T35" s="6" t="s">
        <v>104</v>
      </c>
      <c r="U35" s="6" t="s">
        <v>104</v>
      </c>
      <c r="V35" s="6" t="s">
        <v>104</v>
      </c>
      <c r="W35" s="6" t="s">
        <v>104</v>
      </c>
      <c r="X35" s="6" t="s">
        <v>104</v>
      </c>
      <c r="Y35" s="6" t="s">
        <v>104</v>
      </c>
      <c r="Z35" s="6" t="s">
        <v>104</v>
      </c>
      <c r="AA35" s="6" t="s">
        <v>104</v>
      </c>
      <c r="AB35" s="6" t="s">
        <v>104</v>
      </c>
      <c r="AC35" s="6" t="s">
        <v>104</v>
      </c>
      <c r="AD35" s="6">
        <v>24.1</v>
      </c>
      <c r="AE35" s="6" t="s">
        <v>104</v>
      </c>
    </row>
    <row r="36" spans="1:31" s="12" customFormat="1" ht="13" x14ac:dyDescent="0.15">
      <c r="A36" s="5">
        <v>35</v>
      </c>
      <c r="B36" s="8" t="s">
        <v>151</v>
      </c>
      <c r="C36" s="7">
        <v>45452</v>
      </c>
      <c r="D36" s="6">
        <v>26.4</v>
      </c>
      <c r="E36" s="6">
        <v>29.2</v>
      </c>
      <c r="F36" s="6" t="s">
        <v>104</v>
      </c>
      <c r="G36" s="6" t="s">
        <v>104</v>
      </c>
      <c r="H36" s="6" t="s">
        <v>104</v>
      </c>
      <c r="I36" s="6" t="s">
        <v>104</v>
      </c>
      <c r="J36" s="6" t="s">
        <v>104</v>
      </c>
      <c r="K36" s="6" t="s">
        <v>104</v>
      </c>
      <c r="L36" s="6">
        <v>26.2</v>
      </c>
      <c r="M36" s="6" t="s">
        <v>104</v>
      </c>
      <c r="N36" s="6" t="s">
        <v>104</v>
      </c>
      <c r="O36" s="6">
        <v>25.2</v>
      </c>
      <c r="P36" s="6" t="s">
        <v>104</v>
      </c>
      <c r="Q36" s="6" t="s">
        <v>104</v>
      </c>
      <c r="R36" s="6" t="s">
        <v>104</v>
      </c>
      <c r="S36" s="6" t="s">
        <v>104</v>
      </c>
      <c r="T36" s="6">
        <v>27.6</v>
      </c>
      <c r="U36" s="6" t="s">
        <v>104</v>
      </c>
      <c r="V36" s="6">
        <v>25.8</v>
      </c>
      <c r="W36" s="6" t="s">
        <v>104</v>
      </c>
      <c r="X36" s="6" t="s">
        <v>104</v>
      </c>
      <c r="Y36" s="6" t="s">
        <v>104</v>
      </c>
      <c r="Z36" s="6" t="s">
        <v>104</v>
      </c>
      <c r="AA36" s="6" t="s">
        <v>104</v>
      </c>
      <c r="AB36" s="6" t="s">
        <v>104</v>
      </c>
      <c r="AC36" s="6" t="s">
        <v>104</v>
      </c>
      <c r="AD36" s="6" t="s">
        <v>104</v>
      </c>
      <c r="AE36" s="6">
        <v>29.6</v>
      </c>
    </row>
    <row r="37" spans="1:31" s="12" customFormat="1" ht="13" x14ac:dyDescent="0.15">
      <c r="A37" s="5">
        <v>36</v>
      </c>
      <c r="B37" s="8" t="s">
        <v>152</v>
      </c>
      <c r="C37" s="7">
        <v>45455</v>
      </c>
      <c r="D37" s="6">
        <v>27.3</v>
      </c>
      <c r="E37" s="6">
        <v>28.7</v>
      </c>
      <c r="F37" s="6" t="s">
        <v>104</v>
      </c>
      <c r="G37" s="6">
        <v>23</v>
      </c>
      <c r="H37" s="6" t="s">
        <v>104</v>
      </c>
      <c r="I37" s="6" t="s">
        <v>104</v>
      </c>
      <c r="J37" s="6" t="s">
        <v>104</v>
      </c>
      <c r="K37" s="6" t="s">
        <v>104</v>
      </c>
      <c r="L37" s="6" t="s">
        <v>104</v>
      </c>
      <c r="M37" s="6" t="s">
        <v>104</v>
      </c>
      <c r="N37" s="6">
        <v>21.1</v>
      </c>
      <c r="O37" s="6" t="s">
        <v>104</v>
      </c>
      <c r="P37" s="6" t="s">
        <v>104</v>
      </c>
      <c r="Q37" s="6" t="s">
        <v>104</v>
      </c>
      <c r="R37" s="6" t="s">
        <v>104</v>
      </c>
      <c r="S37" s="6" t="s">
        <v>104</v>
      </c>
      <c r="T37" s="6">
        <v>25.8</v>
      </c>
      <c r="U37" s="6">
        <v>30.3</v>
      </c>
      <c r="V37" s="6">
        <v>34.6</v>
      </c>
      <c r="W37" s="6" t="s">
        <v>104</v>
      </c>
      <c r="X37" s="6">
        <v>28.8</v>
      </c>
      <c r="Y37" s="6" t="s">
        <v>104</v>
      </c>
      <c r="Z37" s="6" t="s">
        <v>104</v>
      </c>
      <c r="AA37" s="6">
        <v>23</v>
      </c>
      <c r="AB37" s="6">
        <v>24.7</v>
      </c>
      <c r="AC37" s="6" t="s">
        <v>104</v>
      </c>
      <c r="AD37" s="6">
        <v>23.2</v>
      </c>
      <c r="AE37" s="6">
        <v>26.5</v>
      </c>
    </row>
    <row r="38" spans="1:31" s="12" customFormat="1" ht="13" x14ac:dyDescent="0.15">
      <c r="A38" s="5">
        <v>37</v>
      </c>
      <c r="B38" s="8" t="s">
        <v>153</v>
      </c>
      <c r="C38" s="7">
        <v>45459</v>
      </c>
      <c r="D38" s="6" t="s">
        <v>104</v>
      </c>
      <c r="E38" s="6">
        <v>37.299999999999997</v>
      </c>
      <c r="F38" s="6" t="s">
        <v>104</v>
      </c>
      <c r="G38" s="6" t="s">
        <v>104</v>
      </c>
      <c r="H38" s="6" t="s">
        <v>104</v>
      </c>
      <c r="I38" s="6" t="s">
        <v>104</v>
      </c>
      <c r="J38" s="6" t="s">
        <v>104</v>
      </c>
      <c r="K38" s="6" t="s">
        <v>104</v>
      </c>
      <c r="L38" s="6">
        <v>22.9</v>
      </c>
      <c r="M38" s="6" t="s">
        <v>104</v>
      </c>
      <c r="N38" s="6">
        <v>23.8</v>
      </c>
      <c r="O38" s="6" t="s">
        <v>104</v>
      </c>
      <c r="P38" s="6" t="s">
        <v>104</v>
      </c>
      <c r="Q38" s="6" t="s">
        <v>104</v>
      </c>
      <c r="R38" s="6" t="s">
        <v>104</v>
      </c>
      <c r="S38" s="6" t="s">
        <v>104</v>
      </c>
      <c r="T38" s="6">
        <v>27.9</v>
      </c>
      <c r="U38" s="6" t="s">
        <v>104</v>
      </c>
      <c r="V38" s="6">
        <v>26.5</v>
      </c>
      <c r="W38" s="6" t="s">
        <v>104</v>
      </c>
      <c r="X38" s="6">
        <v>31.7</v>
      </c>
      <c r="Y38" s="6" t="s">
        <v>104</v>
      </c>
      <c r="Z38" s="6" t="s">
        <v>104</v>
      </c>
      <c r="AA38" s="6" t="s">
        <v>104</v>
      </c>
      <c r="AB38" s="6" t="s">
        <v>104</v>
      </c>
      <c r="AC38" s="6" t="s">
        <v>104</v>
      </c>
      <c r="AD38" s="6">
        <v>27.1</v>
      </c>
      <c r="AE38" s="6">
        <v>29.6</v>
      </c>
    </row>
    <row r="39" spans="1:31" s="12" customFormat="1" ht="13" x14ac:dyDescent="0.15">
      <c r="A39" s="5">
        <v>38</v>
      </c>
      <c r="B39" s="16" t="s">
        <v>21</v>
      </c>
      <c r="C39" s="7">
        <v>45462</v>
      </c>
      <c r="D39" s="6" t="s">
        <v>104</v>
      </c>
      <c r="E39" s="6" t="s">
        <v>104</v>
      </c>
      <c r="F39" s="6" t="s">
        <v>104</v>
      </c>
      <c r="G39" s="6" t="s">
        <v>104</v>
      </c>
      <c r="H39" s="6" t="s">
        <v>104</v>
      </c>
      <c r="I39" s="6" t="s">
        <v>104</v>
      </c>
      <c r="J39" s="6" t="s">
        <v>104</v>
      </c>
      <c r="K39" s="6" t="s">
        <v>104</v>
      </c>
      <c r="L39" s="6">
        <v>42</v>
      </c>
      <c r="M39" s="6" t="s">
        <v>104</v>
      </c>
      <c r="N39" s="6" t="s">
        <v>104</v>
      </c>
      <c r="O39" s="6" t="s">
        <v>104</v>
      </c>
      <c r="P39" s="6" t="s">
        <v>104</v>
      </c>
      <c r="Q39" s="6" t="s">
        <v>104</v>
      </c>
      <c r="R39" s="6" t="s">
        <v>104</v>
      </c>
      <c r="S39" s="6" t="s">
        <v>104</v>
      </c>
      <c r="T39" s="6">
        <v>40.4</v>
      </c>
      <c r="U39" s="6" t="s">
        <v>104</v>
      </c>
      <c r="V39" s="6" t="s">
        <v>104</v>
      </c>
      <c r="W39" s="6" t="s">
        <v>104</v>
      </c>
      <c r="X39" s="6" t="s">
        <v>104</v>
      </c>
      <c r="Y39" s="6" t="s">
        <v>104</v>
      </c>
      <c r="Z39" s="6">
        <v>37.9</v>
      </c>
      <c r="AA39" s="6" t="s">
        <v>104</v>
      </c>
      <c r="AB39" s="6" t="s">
        <v>104</v>
      </c>
      <c r="AC39" s="6" t="s">
        <v>104</v>
      </c>
      <c r="AD39" s="6">
        <v>39.700000000000003</v>
      </c>
      <c r="AE39" s="6" t="s">
        <v>104</v>
      </c>
    </row>
    <row r="40" spans="1:31" s="12" customFormat="1" ht="13" x14ac:dyDescent="0.15">
      <c r="A40" s="5">
        <v>39</v>
      </c>
      <c r="B40" s="16" t="s">
        <v>22</v>
      </c>
      <c r="C40" s="7">
        <v>45466</v>
      </c>
      <c r="D40" s="6">
        <v>37.799999999999997</v>
      </c>
      <c r="E40" s="6" t="s">
        <v>104</v>
      </c>
      <c r="F40" s="6" t="s">
        <v>104</v>
      </c>
      <c r="G40" s="6" t="s">
        <v>104</v>
      </c>
      <c r="H40" s="6" t="s">
        <v>104</v>
      </c>
      <c r="I40" s="6" t="s">
        <v>104</v>
      </c>
      <c r="J40" s="6" t="s">
        <v>104</v>
      </c>
      <c r="K40" s="6" t="s">
        <v>104</v>
      </c>
      <c r="L40" s="6">
        <v>41.1</v>
      </c>
      <c r="M40" s="6">
        <v>39.200000000000003</v>
      </c>
      <c r="N40" s="6" t="s">
        <v>104</v>
      </c>
      <c r="O40" s="6">
        <v>42</v>
      </c>
      <c r="P40" s="6" t="s">
        <v>104</v>
      </c>
      <c r="Q40" s="6" t="s">
        <v>104</v>
      </c>
      <c r="R40" s="6" t="s">
        <v>104</v>
      </c>
      <c r="S40" s="6" t="s">
        <v>104</v>
      </c>
      <c r="T40" s="6">
        <v>38.4</v>
      </c>
      <c r="U40" s="6" t="s">
        <v>104</v>
      </c>
      <c r="V40" s="6">
        <v>39.200000000000003</v>
      </c>
      <c r="W40" s="6" t="s">
        <v>104</v>
      </c>
      <c r="X40" s="6" t="s">
        <v>104</v>
      </c>
      <c r="Y40" s="6" t="s">
        <v>104</v>
      </c>
      <c r="Z40" s="6">
        <v>37.700000000000003</v>
      </c>
      <c r="AA40" s="6" t="s">
        <v>104</v>
      </c>
      <c r="AB40" s="6" t="s">
        <v>104</v>
      </c>
      <c r="AC40" s="6" t="s">
        <v>104</v>
      </c>
      <c r="AD40" s="6">
        <v>38.799999999999997</v>
      </c>
      <c r="AE40" s="6" t="s">
        <v>104</v>
      </c>
    </row>
    <row r="41" spans="1:31" s="12" customFormat="1" ht="13" x14ac:dyDescent="0.15">
      <c r="A41" s="5">
        <v>40</v>
      </c>
      <c r="B41" s="8" t="s">
        <v>154</v>
      </c>
      <c r="C41" s="7">
        <v>45469</v>
      </c>
      <c r="D41" s="8">
        <v>37.1</v>
      </c>
      <c r="E41" s="6" t="s">
        <v>104</v>
      </c>
      <c r="F41" s="6" t="s">
        <v>104</v>
      </c>
      <c r="G41" s="6" t="s">
        <v>104</v>
      </c>
      <c r="H41" s="6" t="s">
        <v>104</v>
      </c>
      <c r="I41" s="6" t="s">
        <v>104</v>
      </c>
      <c r="J41" s="6" t="s">
        <v>104</v>
      </c>
      <c r="K41" s="6" t="s">
        <v>104</v>
      </c>
      <c r="L41" s="6" t="s">
        <v>104</v>
      </c>
      <c r="M41" s="6" t="s">
        <v>104</v>
      </c>
      <c r="N41" s="6" t="s">
        <v>104</v>
      </c>
      <c r="O41" s="8">
        <v>40.299999999999997</v>
      </c>
      <c r="P41" s="6" t="s">
        <v>104</v>
      </c>
      <c r="Q41" s="6" t="s">
        <v>104</v>
      </c>
      <c r="R41" s="6" t="s">
        <v>104</v>
      </c>
      <c r="S41" s="6" t="s">
        <v>104</v>
      </c>
      <c r="T41" s="8">
        <v>39.799999999999997</v>
      </c>
      <c r="U41" s="6" t="s">
        <v>104</v>
      </c>
      <c r="V41" s="8">
        <v>28.3</v>
      </c>
      <c r="W41" s="6" t="s">
        <v>104</v>
      </c>
      <c r="X41" s="8">
        <v>41.5</v>
      </c>
      <c r="Y41" s="6" t="s">
        <v>104</v>
      </c>
      <c r="Z41" s="8">
        <v>36.299999999999997</v>
      </c>
      <c r="AA41" s="8">
        <v>40.799999999999997</v>
      </c>
      <c r="AB41" s="6" t="s">
        <v>104</v>
      </c>
      <c r="AC41" s="6" t="s">
        <v>104</v>
      </c>
      <c r="AD41" s="8">
        <v>39.799999999999997</v>
      </c>
      <c r="AE41" s="6" t="s">
        <v>104</v>
      </c>
    </row>
    <row r="42" spans="1:31" s="12" customFormat="1" ht="13" x14ac:dyDescent="0.15">
      <c r="A42" s="5">
        <v>41</v>
      </c>
      <c r="B42" s="16" t="s">
        <v>23</v>
      </c>
      <c r="C42" s="7">
        <v>45473</v>
      </c>
      <c r="D42" s="6">
        <v>40</v>
      </c>
      <c r="E42" s="6" t="s">
        <v>104</v>
      </c>
      <c r="F42" s="6">
        <v>40.6</v>
      </c>
      <c r="G42" s="6" t="s">
        <v>104</v>
      </c>
      <c r="H42" s="6" t="s">
        <v>104</v>
      </c>
      <c r="I42" s="6" t="s">
        <v>104</v>
      </c>
      <c r="J42" s="6" t="s">
        <v>104</v>
      </c>
      <c r="K42" s="6" t="s">
        <v>104</v>
      </c>
      <c r="L42" s="6">
        <v>40.5</v>
      </c>
      <c r="M42" s="6" t="s">
        <v>104</v>
      </c>
      <c r="N42" s="6" t="s">
        <v>104</v>
      </c>
      <c r="O42" s="6" t="s">
        <v>104</v>
      </c>
      <c r="P42" s="6" t="s">
        <v>104</v>
      </c>
      <c r="Q42" s="6" t="s">
        <v>104</v>
      </c>
      <c r="R42" s="6" t="s">
        <v>104</v>
      </c>
      <c r="S42" s="6" t="s">
        <v>104</v>
      </c>
      <c r="T42" s="6">
        <v>39.299999999999997</v>
      </c>
      <c r="U42" s="6" t="s">
        <v>104</v>
      </c>
      <c r="V42" s="6" t="s">
        <v>104</v>
      </c>
      <c r="W42" s="6" t="s">
        <v>104</v>
      </c>
      <c r="X42" s="6" t="s">
        <v>104</v>
      </c>
      <c r="Y42" s="6" t="s">
        <v>104</v>
      </c>
      <c r="Z42" s="6">
        <v>42.3</v>
      </c>
      <c r="AA42" s="6" t="s">
        <v>104</v>
      </c>
      <c r="AB42" s="6" t="s">
        <v>104</v>
      </c>
      <c r="AC42" s="6" t="s">
        <v>104</v>
      </c>
      <c r="AD42" s="6" t="s">
        <v>104</v>
      </c>
      <c r="AE42" s="6" t="s">
        <v>104</v>
      </c>
    </row>
    <row r="43" spans="1:31" s="12" customFormat="1" ht="13" x14ac:dyDescent="0.15">
      <c r="A43" s="5">
        <v>42</v>
      </c>
      <c r="B43" s="16" t="s">
        <v>24</v>
      </c>
      <c r="C43" s="20" t="s">
        <v>25</v>
      </c>
      <c r="D43" s="6" t="s">
        <v>104</v>
      </c>
      <c r="E43" s="6" t="s">
        <v>104</v>
      </c>
      <c r="F43" s="6" t="s">
        <v>104</v>
      </c>
      <c r="G43" s="6" t="s">
        <v>104</v>
      </c>
      <c r="H43" s="6" t="s">
        <v>104</v>
      </c>
      <c r="I43" s="6" t="s">
        <v>104</v>
      </c>
      <c r="J43" s="6" t="s">
        <v>104</v>
      </c>
      <c r="K43" s="6" t="s">
        <v>104</v>
      </c>
      <c r="L43" s="6" t="s">
        <v>104</v>
      </c>
      <c r="M43" s="6" t="s">
        <v>104</v>
      </c>
      <c r="N43" s="6" t="s">
        <v>104</v>
      </c>
      <c r="O43" s="6" t="s">
        <v>104</v>
      </c>
      <c r="P43" s="6" t="s">
        <v>104</v>
      </c>
      <c r="Q43" s="6" t="s">
        <v>104</v>
      </c>
      <c r="R43" s="6" t="s">
        <v>104</v>
      </c>
      <c r="S43" s="6" t="s">
        <v>104</v>
      </c>
      <c r="T43" s="6" t="s">
        <v>104</v>
      </c>
      <c r="U43" s="6" t="s">
        <v>104</v>
      </c>
      <c r="V43" s="6" t="s">
        <v>104</v>
      </c>
      <c r="W43" s="6" t="s">
        <v>104</v>
      </c>
      <c r="X43" s="6" t="s">
        <v>104</v>
      </c>
      <c r="Y43" s="6" t="s">
        <v>104</v>
      </c>
      <c r="Z43" s="6">
        <v>39.5</v>
      </c>
      <c r="AA43" s="6" t="s">
        <v>104</v>
      </c>
      <c r="AB43" s="6" t="s">
        <v>104</v>
      </c>
      <c r="AC43" s="6" t="s">
        <v>104</v>
      </c>
      <c r="AD43" s="6">
        <v>39.6</v>
      </c>
      <c r="AE43" s="6" t="s">
        <v>104</v>
      </c>
    </row>
    <row r="44" spans="1:31" s="12" customFormat="1" ht="13" x14ac:dyDescent="0.15">
      <c r="A44" s="5">
        <v>43</v>
      </c>
      <c r="B44" s="16" t="s">
        <v>26</v>
      </c>
      <c r="C44" s="21">
        <v>45480</v>
      </c>
      <c r="D44" s="6" t="s">
        <v>104</v>
      </c>
      <c r="E44" s="6" t="s">
        <v>104</v>
      </c>
      <c r="F44" s="6" t="s">
        <v>104</v>
      </c>
      <c r="G44" s="6" t="s">
        <v>104</v>
      </c>
      <c r="H44" s="6" t="s">
        <v>104</v>
      </c>
      <c r="I44" s="6" t="s">
        <v>104</v>
      </c>
      <c r="J44" s="6" t="s">
        <v>104</v>
      </c>
      <c r="K44" s="6" t="s">
        <v>104</v>
      </c>
      <c r="L44" s="6">
        <v>40.700000000000003</v>
      </c>
      <c r="M44" s="6" t="s">
        <v>104</v>
      </c>
      <c r="N44" s="6" t="s">
        <v>104</v>
      </c>
      <c r="O44" s="6" t="s">
        <v>104</v>
      </c>
      <c r="P44" s="6" t="s">
        <v>104</v>
      </c>
      <c r="Q44" s="6" t="s">
        <v>104</v>
      </c>
      <c r="R44" s="6" t="s">
        <v>104</v>
      </c>
      <c r="S44" s="6" t="s">
        <v>104</v>
      </c>
      <c r="T44" s="6" t="s">
        <v>104</v>
      </c>
      <c r="U44" s="6" t="s">
        <v>104</v>
      </c>
      <c r="V44" s="6" t="s">
        <v>104</v>
      </c>
      <c r="W44" s="6" t="s">
        <v>104</v>
      </c>
      <c r="X44" s="6" t="s">
        <v>104</v>
      </c>
      <c r="Y44" s="6" t="s">
        <v>104</v>
      </c>
      <c r="Z44" s="6">
        <v>40.799999999999997</v>
      </c>
      <c r="AA44" s="6" t="s">
        <v>104</v>
      </c>
      <c r="AB44" s="6" t="s">
        <v>104</v>
      </c>
      <c r="AC44" s="6" t="s">
        <v>104</v>
      </c>
      <c r="AD44" s="6" t="s">
        <v>104</v>
      </c>
      <c r="AE44" s="6" t="s">
        <v>104</v>
      </c>
    </row>
    <row r="45" spans="1:31" s="12" customFormat="1" ht="13" x14ac:dyDescent="0.15">
      <c r="A45" s="5">
        <v>44</v>
      </c>
      <c r="B45" s="16" t="s">
        <v>27</v>
      </c>
      <c r="C45" s="21">
        <v>45483</v>
      </c>
      <c r="D45" s="6">
        <v>39.1</v>
      </c>
      <c r="E45" s="6" t="s">
        <v>104</v>
      </c>
      <c r="F45" s="6" t="s">
        <v>104</v>
      </c>
      <c r="G45" s="6" t="s">
        <v>104</v>
      </c>
      <c r="H45" s="6" t="s">
        <v>104</v>
      </c>
      <c r="I45" s="6" t="s">
        <v>104</v>
      </c>
      <c r="J45" s="6" t="s">
        <v>104</v>
      </c>
      <c r="K45" s="6" t="s">
        <v>104</v>
      </c>
      <c r="L45" s="6" t="s">
        <v>104</v>
      </c>
      <c r="M45" s="6" t="s">
        <v>104</v>
      </c>
      <c r="N45" s="6" t="s">
        <v>104</v>
      </c>
      <c r="O45" s="6" t="s">
        <v>104</v>
      </c>
      <c r="P45" s="6" t="s">
        <v>104</v>
      </c>
      <c r="Q45" s="6" t="s">
        <v>104</v>
      </c>
      <c r="R45" s="6" t="s">
        <v>104</v>
      </c>
      <c r="S45" s="6" t="s">
        <v>104</v>
      </c>
      <c r="T45" s="6">
        <v>40.4</v>
      </c>
      <c r="U45" s="6" t="s">
        <v>104</v>
      </c>
      <c r="V45" s="6">
        <v>41.4</v>
      </c>
      <c r="W45" s="6" t="s">
        <v>104</v>
      </c>
      <c r="X45" s="6" t="s">
        <v>104</v>
      </c>
      <c r="Y45" s="6" t="s">
        <v>104</v>
      </c>
      <c r="Z45" s="6">
        <v>39.299999999999997</v>
      </c>
      <c r="AA45" s="6" t="s">
        <v>104</v>
      </c>
      <c r="AB45" s="6" t="s">
        <v>104</v>
      </c>
      <c r="AC45" s="6" t="s">
        <v>104</v>
      </c>
      <c r="AD45" s="6" t="s">
        <v>104</v>
      </c>
      <c r="AE45" s="6" t="s">
        <v>104</v>
      </c>
    </row>
    <row r="46" spans="1:31" s="12" customFormat="1" ht="13" x14ac:dyDescent="0.15">
      <c r="A46" s="5">
        <v>45</v>
      </c>
      <c r="B46" s="16" t="s">
        <v>28</v>
      </c>
      <c r="C46" s="21">
        <v>45484</v>
      </c>
      <c r="D46" s="6" t="s">
        <v>104</v>
      </c>
      <c r="E46" s="6" t="s">
        <v>104</v>
      </c>
      <c r="F46" s="6" t="s">
        <v>104</v>
      </c>
      <c r="G46" s="6" t="s">
        <v>104</v>
      </c>
      <c r="H46" s="6" t="s">
        <v>104</v>
      </c>
      <c r="I46" s="6" t="s">
        <v>104</v>
      </c>
      <c r="J46" s="6" t="s">
        <v>104</v>
      </c>
      <c r="K46" s="6" t="s">
        <v>104</v>
      </c>
      <c r="L46" s="6">
        <v>40.6</v>
      </c>
      <c r="M46" s="6" t="s">
        <v>104</v>
      </c>
      <c r="N46" s="6" t="s">
        <v>104</v>
      </c>
      <c r="O46" s="6" t="s">
        <v>104</v>
      </c>
      <c r="P46" s="6" t="s">
        <v>104</v>
      </c>
      <c r="Q46" s="6" t="s">
        <v>104</v>
      </c>
      <c r="R46" s="6" t="s">
        <v>104</v>
      </c>
      <c r="S46" s="6" t="s">
        <v>104</v>
      </c>
      <c r="T46" s="6">
        <v>30.6</v>
      </c>
      <c r="U46" s="6" t="s">
        <v>104</v>
      </c>
      <c r="V46" s="6" t="s">
        <v>104</v>
      </c>
      <c r="W46" s="6" t="s">
        <v>104</v>
      </c>
      <c r="X46" s="6" t="s">
        <v>104</v>
      </c>
      <c r="Y46" s="6" t="s">
        <v>104</v>
      </c>
      <c r="Z46" s="6" t="s">
        <v>104</v>
      </c>
      <c r="AA46" s="6" t="s">
        <v>104</v>
      </c>
      <c r="AB46" s="6" t="s">
        <v>104</v>
      </c>
      <c r="AC46" s="6" t="s">
        <v>104</v>
      </c>
      <c r="AD46" s="6">
        <v>40.4</v>
      </c>
      <c r="AE46" s="6" t="s">
        <v>104</v>
      </c>
    </row>
    <row r="47" spans="1:31" s="12" customFormat="1" ht="13" x14ac:dyDescent="0.15">
      <c r="A47" s="5">
        <v>46</v>
      </c>
      <c r="B47" s="16" t="s">
        <v>29</v>
      </c>
      <c r="C47" s="21">
        <v>45490</v>
      </c>
      <c r="D47" s="6" t="s">
        <v>104</v>
      </c>
      <c r="E47" s="6" t="s">
        <v>104</v>
      </c>
      <c r="F47" s="6" t="s">
        <v>104</v>
      </c>
      <c r="G47" s="6" t="s">
        <v>104</v>
      </c>
      <c r="H47" s="6" t="s">
        <v>104</v>
      </c>
      <c r="I47" s="6" t="s">
        <v>104</v>
      </c>
      <c r="J47" s="6" t="s">
        <v>104</v>
      </c>
      <c r="K47" s="6" t="s">
        <v>104</v>
      </c>
      <c r="L47" s="6" t="s">
        <v>104</v>
      </c>
      <c r="M47" s="6" t="s">
        <v>104</v>
      </c>
      <c r="N47" s="6" t="s">
        <v>104</v>
      </c>
      <c r="O47" s="6" t="s">
        <v>104</v>
      </c>
      <c r="P47" s="6" t="s">
        <v>104</v>
      </c>
      <c r="Q47" s="6" t="s">
        <v>104</v>
      </c>
      <c r="R47" s="6" t="s">
        <v>104</v>
      </c>
      <c r="S47" s="6" t="s">
        <v>104</v>
      </c>
      <c r="T47" s="6">
        <v>41.6</v>
      </c>
      <c r="U47" s="6">
        <v>41.2</v>
      </c>
      <c r="V47" s="6" t="s">
        <v>104</v>
      </c>
      <c r="W47" s="6" t="s">
        <v>104</v>
      </c>
      <c r="X47" s="6" t="s">
        <v>104</v>
      </c>
      <c r="Y47" s="6" t="s">
        <v>104</v>
      </c>
      <c r="Z47" s="6">
        <v>40.1</v>
      </c>
      <c r="AA47" s="6" t="s">
        <v>104</v>
      </c>
      <c r="AB47" s="6" t="s">
        <v>104</v>
      </c>
      <c r="AC47" s="6" t="s">
        <v>104</v>
      </c>
      <c r="AD47" s="6">
        <v>40.5</v>
      </c>
      <c r="AE47" s="6" t="s">
        <v>104</v>
      </c>
    </row>
    <row r="48" spans="1:31" s="12" customFormat="1" ht="13" x14ac:dyDescent="0.15">
      <c r="A48" s="5">
        <v>47</v>
      </c>
      <c r="B48" s="16" t="s">
        <v>30</v>
      </c>
      <c r="C48" s="21">
        <v>45494</v>
      </c>
      <c r="D48" s="6">
        <v>38.700000000000003</v>
      </c>
      <c r="E48" s="6" t="s">
        <v>104</v>
      </c>
      <c r="F48" s="6" t="s">
        <v>104</v>
      </c>
      <c r="G48" s="6" t="s">
        <v>104</v>
      </c>
      <c r="H48" s="6" t="s">
        <v>104</v>
      </c>
      <c r="I48" s="6" t="s">
        <v>104</v>
      </c>
      <c r="J48" s="6" t="s">
        <v>104</v>
      </c>
      <c r="K48" s="6" t="s">
        <v>104</v>
      </c>
      <c r="L48" s="6" t="s">
        <v>104</v>
      </c>
      <c r="M48" s="6" t="s">
        <v>104</v>
      </c>
      <c r="N48" s="6" t="s">
        <v>104</v>
      </c>
      <c r="O48" s="6">
        <v>40.799999999999997</v>
      </c>
      <c r="P48" s="6" t="s">
        <v>104</v>
      </c>
      <c r="Q48" s="6" t="s">
        <v>104</v>
      </c>
      <c r="R48" s="6" t="s">
        <v>104</v>
      </c>
      <c r="S48" s="6" t="s">
        <v>104</v>
      </c>
      <c r="T48" s="6" t="s">
        <v>104</v>
      </c>
      <c r="U48" s="6" t="s">
        <v>104</v>
      </c>
      <c r="V48" s="6" t="s">
        <v>104</v>
      </c>
      <c r="W48" s="6" t="s">
        <v>104</v>
      </c>
      <c r="X48" s="6" t="s">
        <v>104</v>
      </c>
      <c r="Y48" s="6" t="s">
        <v>104</v>
      </c>
      <c r="Z48" s="6">
        <v>41</v>
      </c>
      <c r="AA48" s="6" t="s">
        <v>104</v>
      </c>
      <c r="AB48" s="6" t="s">
        <v>104</v>
      </c>
      <c r="AC48" s="6" t="s">
        <v>104</v>
      </c>
      <c r="AD48" s="6" t="s">
        <v>104</v>
      </c>
      <c r="AE48" s="6" t="s">
        <v>104</v>
      </c>
    </row>
    <row r="49" spans="1:32" s="12" customFormat="1" ht="13" x14ac:dyDescent="0.15">
      <c r="A49" s="5">
        <v>48</v>
      </c>
      <c r="B49" s="8" t="s">
        <v>155</v>
      </c>
      <c r="C49" s="7">
        <v>45497</v>
      </c>
      <c r="D49" s="8">
        <v>38.4</v>
      </c>
      <c r="E49" s="6" t="s">
        <v>104</v>
      </c>
      <c r="F49" s="6" t="s">
        <v>104</v>
      </c>
      <c r="G49" s="6" t="s">
        <v>104</v>
      </c>
      <c r="H49" s="6" t="s">
        <v>104</v>
      </c>
      <c r="I49" s="6" t="s">
        <v>104</v>
      </c>
      <c r="J49" s="6" t="s">
        <v>104</v>
      </c>
      <c r="K49" s="6" t="s">
        <v>104</v>
      </c>
      <c r="L49" s="8">
        <v>40.200000000000003</v>
      </c>
      <c r="M49" s="6" t="s">
        <v>104</v>
      </c>
      <c r="N49" s="8">
        <v>41.3</v>
      </c>
      <c r="O49" s="8">
        <v>40.700000000000003</v>
      </c>
      <c r="P49" s="6" t="s">
        <v>104</v>
      </c>
      <c r="Q49" s="6" t="s">
        <v>104</v>
      </c>
      <c r="R49" s="6" t="s">
        <v>104</v>
      </c>
      <c r="S49" s="6" t="s">
        <v>104</v>
      </c>
      <c r="T49" s="8">
        <v>39.4</v>
      </c>
      <c r="U49" s="6" t="s">
        <v>104</v>
      </c>
      <c r="V49" s="6" t="s">
        <v>104</v>
      </c>
      <c r="W49" s="6" t="s">
        <v>104</v>
      </c>
      <c r="X49" s="6" t="s">
        <v>104</v>
      </c>
      <c r="Y49" s="6" t="s">
        <v>104</v>
      </c>
      <c r="Z49" s="6" t="s">
        <v>104</v>
      </c>
      <c r="AA49" s="8">
        <v>40.799999999999997</v>
      </c>
      <c r="AB49" s="6" t="s">
        <v>104</v>
      </c>
      <c r="AC49" s="6" t="s">
        <v>104</v>
      </c>
      <c r="AD49" s="6" t="s">
        <v>104</v>
      </c>
      <c r="AE49" s="6" t="s">
        <v>104</v>
      </c>
    </row>
    <row r="50" spans="1:32" s="12" customFormat="1" ht="13" x14ac:dyDescent="0.15">
      <c r="A50" s="5">
        <v>49</v>
      </c>
      <c r="B50" s="16" t="s">
        <v>31</v>
      </c>
      <c r="C50" s="21">
        <v>45501</v>
      </c>
      <c r="D50" s="6">
        <v>39.1</v>
      </c>
      <c r="E50" s="6" t="s">
        <v>104</v>
      </c>
      <c r="F50" s="6" t="s">
        <v>104</v>
      </c>
      <c r="G50" s="6" t="s">
        <v>104</v>
      </c>
      <c r="H50" s="6" t="s">
        <v>104</v>
      </c>
      <c r="I50" s="6" t="s">
        <v>104</v>
      </c>
      <c r="J50" s="6" t="s">
        <v>104</v>
      </c>
      <c r="K50" s="6" t="s">
        <v>104</v>
      </c>
      <c r="L50" s="6" t="s">
        <v>104</v>
      </c>
      <c r="M50" s="6" t="s">
        <v>104</v>
      </c>
      <c r="N50" s="6" t="s">
        <v>104</v>
      </c>
      <c r="O50" s="6">
        <v>42.5</v>
      </c>
      <c r="P50" s="6" t="s">
        <v>104</v>
      </c>
      <c r="Q50" s="6" t="s">
        <v>104</v>
      </c>
      <c r="R50" s="6" t="s">
        <v>104</v>
      </c>
      <c r="S50" s="6" t="s">
        <v>104</v>
      </c>
      <c r="T50" s="6">
        <v>39.1</v>
      </c>
      <c r="U50" s="6" t="s">
        <v>104</v>
      </c>
      <c r="V50" s="6" t="s">
        <v>104</v>
      </c>
      <c r="W50" s="6" t="s">
        <v>104</v>
      </c>
      <c r="X50" s="6">
        <v>38.9</v>
      </c>
      <c r="Y50" s="6" t="s">
        <v>104</v>
      </c>
      <c r="Z50" s="6">
        <v>30.6</v>
      </c>
      <c r="AA50" s="6" t="s">
        <v>104</v>
      </c>
      <c r="AB50" s="6" t="s">
        <v>104</v>
      </c>
      <c r="AC50" s="6" t="s">
        <v>104</v>
      </c>
      <c r="AD50" s="6">
        <v>38.6</v>
      </c>
      <c r="AE50" s="6" t="s">
        <v>104</v>
      </c>
    </row>
    <row r="51" spans="1:32" s="12" customFormat="1" ht="13" x14ac:dyDescent="0.15">
      <c r="A51" s="5">
        <v>50</v>
      </c>
      <c r="B51" s="16" t="s">
        <v>32</v>
      </c>
      <c r="C51" s="21">
        <v>45508</v>
      </c>
      <c r="D51" s="6" t="s">
        <v>104</v>
      </c>
      <c r="E51" s="6" t="s">
        <v>104</v>
      </c>
      <c r="F51" s="6" t="s">
        <v>104</v>
      </c>
      <c r="G51" s="6" t="s">
        <v>104</v>
      </c>
      <c r="H51" s="6" t="s">
        <v>104</v>
      </c>
      <c r="I51" s="6" t="s">
        <v>104</v>
      </c>
      <c r="J51" s="6" t="s">
        <v>104</v>
      </c>
      <c r="K51" s="6" t="s">
        <v>104</v>
      </c>
      <c r="L51" s="6" t="s">
        <v>104</v>
      </c>
      <c r="M51" s="6" t="s">
        <v>104</v>
      </c>
      <c r="N51" s="6" t="s">
        <v>104</v>
      </c>
      <c r="O51" s="6" t="s">
        <v>104</v>
      </c>
      <c r="P51" s="6" t="s">
        <v>104</v>
      </c>
      <c r="Q51" s="6" t="s">
        <v>104</v>
      </c>
      <c r="R51" s="6" t="s">
        <v>104</v>
      </c>
      <c r="S51" s="6" t="s">
        <v>104</v>
      </c>
      <c r="T51" s="6">
        <v>40.700000000000003</v>
      </c>
      <c r="U51" s="6" t="s">
        <v>104</v>
      </c>
      <c r="V51" s="6" t="s">
        <v>104</v>
      </c>
      <c r="W51" s="6" t="s">
        <v>104</v>
      </c>
      <c r="X51" s="6" t="s">
        <v>104</v>
      </c>
      <c r="Y51" s="6" t="s">
        <v>104</v>
      </c>
      <c r="Z51" s="6">
        <v>40.9</v>
      </c>
      <c r="AA51" s="6" t="s">
        <v>104</v>
      </c>
      <c r="AB51" s="6" t="s">
        <v>104</v>
      </c>
      <c r="AC51" s="6" t="s">
        <v>104</v>
      </c>
      <c r="AD51" s="6" t="s">
        <v>104</v>
      </c>
      <c r="AE51" s="6" t="s">
        <v>104</v>
      </c>
    </row>
    <row r="52" spans="1:32" s="12" customFormat="1" ht="13" x14ac:dyDescent="0.15">
      <c r="A52" s="5">
        <v>51</v>
      </c>
      <c r="B52" s="16" t="s">
        <v>33</v>
      </c>
      <c r="C52" s="21">
        <v>45511</v>
      </c>
      <c r="D52" s="6">
        <v>38</v>
      </c>
      <c r="E52" s="6" t="s">
        <v>104</v>
      </c>
      <c r="F52" s="6" t="s">
        <v>104</v>
      </c>
      <c r="G52" s="6" t="s">
        <v>104</v>
      </c>
      <c r="H52" s="6" t="s">
        <v>104</v>
      </c>
      <c r="I52" s="6" t="s">
        <v>104</v>
      </c>
      <c r="J52" s="6" t="s">
        <v>104</v>
      </c>
      <c r="K52" s="6" t="s">
        <v>104</v>
      </c>
      <c r="L52" s="6">
        <v>41.6</v>
      </c>
      <c r="M52" s="6" t="s">
        <v>104</v>
      </c>
      <c r="N52" s="6" t="s">
        <v>104</v>
      </c>
      <c r="O52" s="6">
        <v>42.3</v>
      </c>
      <c r="P52" s="6" t="s">
        <v>104</v>
      </c>
      <c r="Q52" s="6" t="s">
        <v>104</v>
      </c>
      <c r="R52" s="6" t="s">
        <v>104</v>
      </c>
      <c r="S52" s="6" t="s">
        <v>104</v>
      </c>
      <c r="T52" s="8">
        <v>39.799999999999997</v>
      </c>
      <c r="U52" s="6" t="s">
        <v>104</v>
      </c>
      <c r="V52" s="6" t="s">
        <v>104</v>
      </c>
      <c r="W52" s="6" t="s">
        <v>104</v>
      </c>
      <c r="X52" s="6" t="s">
        <v>104</v>
      </c>
      <c r="Y52" s="6" t="s">
        <v>104</v>
      </c>
      <c r="Z52" s="6">
        <v>37.799999999999997</v>
      </c>
      <c r="AA52" s="6">
        <v>38.5</v>
      </c>
      <c r="AB52" s="6" t="s">
        <v>104</v>
      </c>
      <c r="AC52" s="6" t="s">
        <v>104</v>
      </c>
      <c r="AD52" s="6">
        <v>39.6</v>
      </c>
      <c r="AE52" s="6" t="s">
        <v>104</v>
      </c>
    </row>
    <row r="53" spans="1:32" s="12" customFormat="1" ht="13" x14ac:dyDescent="0.15">
      <c r="A53" s="5">
        <v>52</v>
      </c>
      <c r="B53" s="16" t="s">
        <v>34</v>
      </c>
      <c r="C53" s="20" t="s">
        <v>35</v>
      </c>
      <c r="D53" s="6">
        <v>39.4</v>
      </c>
      <c r="E53" s="6" t="s">
        <v>104</v>
      </c>
      <c r="F53" s="6" t="s">
        <v>104</v>
      </c>
      <c r="G53" s="6" t="s">
        <v>104</v>
      </c>
      <c r="H53" s="6" t="s">
        <v>104</v>
      </c>
      <c r="I53" s="6" t="s">
        <v>104</v>
      </c>
      <c r="J53" s="6" t="s">
        <v>104</v>
      </c>
      <c r="K53" s="6" t="s">
        <v>104</v>
      </c>
      <c r="L53" s="6" t="s">
        <v>104</v>
      </c>
      <c r="M53" s="6" t="s">
        <v>104</v>
      </c>
      <c r="N53" s="6" t="s">
        <v>104</v>
      </c>
      <c r="O53" s="6" t="s">
        <v>104</v>
      </c>
      <c r="P53" s="6" t="s">
        <v>104</v>
      </c>
      <c r="Q53" s="6" t="s">
        <v>104</v>
      </c>
      <c r="R53" s="6" t="s">
        <v>104</v>
      </c>
      <c r="S53" s="6" t="s">
        <v>104</v>
      </c>
      <c r="T53" s="6" t="s">
        <v>104</v>
      </c>
      <c r="U53" s="6" t="s">
        <v>104</v>
      </c>
      <c r="V53" s="6" t="s">
        <v>104</v>
      </c>
      <c r="W53" s="6" t="s">
        <v>104</v>
      </c>
      <c r="X53" s="6" t="s">
        <v>104</v>
      </c>
      <c r="Y53" s="6" t="s">
        <v>104</v>
      </c>
      <c r="Z53" s="6">
        <v>39.299999999999997</v>
      </c>
      <c r="AA53" s="6" t="s">
        <v>104</v>
      </c>
      <c r="AB53" s="6" t="s">
        <v>104</v>
      </c>
      <c r="AC53" s="6" t="s">
        <v>104</v>
      </c>
      <c r="AD53" s="6" t="s">
        <v>104</v>
      </c>
      <c r="AE53" s="6" t="s">
        <v>104</v>
      </c>
    </row>
    <row r="54" spans="1:32" s="12" customFormat="1" ht="13" x14ac:dyDescent="0.15">
      <c r="A54" s="5">
        <v>53</v>
      </c>
      <c r="B54" s="16" t="s">
        <v>36</v>
      </c>
      <c r="C54" s="21">
        <v>45515</v>
      </c>
      <c r="D54" s="6">
        <v>38.700000000000003</v>
      </c>
      <c r="E54" s="6" t="s">
        <v>104</v>
      </c>
      <c r="F54" s="6" t="s">
        <v>104</v>
      </c>
      <c r="G54" s="6" t="s">
        <v>104</v>
      </c>
      <c r="H54" s="6" t="s">
        <v>104</v>
      </c>
      <c r="I54" s="6" t="s">
        <v>104</v>
      </c>
      <c r="J54" s="6" t="s">
        <v>104</v>
      </c>
      <c r="K54" s="6" t="s">
        <v>104</v>
      </c>
      <c r="L54" s="6" t="s">
        <v>104</v>
      </c>
      <c r="M54" s="6" t="s">
        <v>104</v>
      </c>
      <c r="N54" s="6">
        <v>40.6</v>
      </c>
      <c r="O54" s="6" t="s">
        <v>104</v>
      </c>
      <c r="P54" s="6" t="s">
        <v>104</v>
      </c>
      <c r="Q54" s="6" t="s">
        <v>104</v>
      </c>
      <c r="R54" s="6" t="s">
        <v>104</v>
      </c>
      <c r="S54" s="6" t="s">
        <v>104</v>
      </c>
      <c r="T54" s="8">
        <v>41.3</v>
      </c>
      <c r="U54" s="6" t="s">
        <v>104</v>
      </c>
      <c r="V54" s="6" t="s">
        <v>104</v>
      </c>
      <c r="W54" s="6" t="s">
        <v>104</v>
      </c>
      <c r="X54" s="6" t="s">
        <v>104</v>
      </c>
      <c r="Y54" s="6" t="s">
        <v>104</v>
      </c>
      <c r="Z54" s="6">
        <v>39.6</v>
      </c>
      <c r="AA54" s="6" t="s">
        <v>104</v>
      </c>
      <c r="AB54" s="6" t="s">
        <v>104</v>
      </c>
      <c r="AC54" s="6" t="s">
        <v>104</v>
      </c>
      <c r="AD54" s="6" t="s">
        <v>104</v>
      </c>
      <c r="AE54" s="6" t="s">
        <v>104</v>
      </c>
    </row>
    <row r="55" spans="1:32" s="12" customFormat="1" ht="13" x14ac:dyDescent="0.15">
      <c r="A55" s="5">
        <v>54</v>
      </c>
      <c r="B55" s="16" t="s">
        <v>37</v>
      </c>
      <c r="C55" s="20" t="s">
        <v>38</v>
      </c>
      <c r="D55" s="6" t="s">
        <v>104</v>
      </c>
      <c r="E55" s="6" t="s">
        <v>104</v>
      </c>
      <c r="F55" s="6" t="s">
        <v>104</v>
      </c>
      <c r="G55" s="6" t="s">
        <v>104</v>
      </c>
      <c r="H55" s="6" t="s">
        <v>104</v>
      </c>
      <c r="I55" s="6" t="s">
        <v>104</v>
      </c>
      <c r="J55" s="6" t="s">
        <v>104</v>
      </c>
      <c r="K55" s="6" t="s">
        <v>104</v>
      </c>
      <c r="L55" s="6" t="s">
        <v>104</v>
      </c>
      <c r="M55" s="6" t="s">
        <v>104</v>
      </c>
      <c r="N55" s="6" t="s">
        <v>104</v>
      </c>
      <c r="O55" s="6">
        <v>40.9</v>
      </c>
      <c r="P55" s="6" t="s">
        <v>104</v>
      </c>
      <c r="Q55" s="6" t="s">
        <v>104</v>
      </c>
      <c r="R55" s="6" t="s">
        <v>104</v>
      </c>
      <c r="S55" s="6" t="s">
        <v>104</v>
      </c>
      <c r="T55" s="6" t="s">
        <v>104</v>
      </c>
      <c r="U55" s="6" t="s">
        <v>104</v>
      </c>
      <c r="V55" s="6" t="s">
        <v>104</v>
      </c>
      <c r="W55" s="6" t="s">
        <v>104</v>
      </c>
      <c r="X55" s="6" t="s">
        <v>104</v>
      </c>
      <c r="Y55" s="6" t="s">
        <v>104</v>
      </c>
      <c r="Z55" s="6" t="s">
        <v>104</v>
      </c>
      <c r="AA55" s="6" t="s">
        <v>104</v>
      </c>
      <c r="AB55" s="6" t="s">
        <v>104</v>
      </c>
      <c r="AC55" s="6" t="s">
        <v>104</v>
      </c>
      <c r="AD55" s="6" t="s">
        <v>104</v>
      </c>
      <c r="AE55" s="6" t="s">
        <v>104</v>
      </c>
    </row>
    <row r="56" spans="1:32" s="12" customFormat="1" ht="13" x14ac:dyDescent="0.15">
      <c r="A56" s="5">
        <v>55</v>
      </c>
      <c r="B56" s="8" t="s">
        <v>39</v>
      </c>
      <c r="C56" s="7">
        <v>45525</v>
      </c>
      <c r="D56" s="6">
        <v>40.1</v>
      </c>
      <c r="E56" s="6" t="s">
        <v>104</v>
      </c>
      <c r="F56" s="6" t="s">
        <v>104</v>
      </c>
      <c r="G56" s="6" t="s">
        <v>104</v>
      </c>
      <c r="H56" s="6" t="s">
        <v>104</v>
      </c>
      <c r="I56" s="6" t="s">
        <v>104</v>
      </c>
      <c r="J56" s="6" t="s">
        <v>104</v>
      </c>
      <c r="K56" s="6" t="s">
        <v>104</v>
      </c>
      <c r="L56" s="6">
        <v>41.5</v>
      </c>
      <c r="M56" s="6" t="s">
        <v>104</v>
      </c>
      <c r="N56" s="6" t="s">
        <v>104</v>
      </c>
      <c r="O56" s="6" t="s">
        <v>104</v>
      </c>
      <c r="P56" s="6" t="s">
        <v>104</v>
      </c>
      <c r="Q56" s="6" t="s">
        <v>104</v>
      </c>
      <c r="R56" s="6" t="s">
        <v>104</v>
      </c>
      <c r="S56" s="6" t="s">
        <v>104</v>
      </c>
      <c r="T56" s="6" t="s">
        <v>104</v>
      </c>
      <c r="U56" s="6" t="s">
        <v>104</v>
      </c>
      <c r="V56" s="6" t="s">
        <v>104</v>
      </c>
      <c r="W56" s="6" t="s">
        <v>104</v>
      </c>
      <c r="X56" s="6" t="s">
        <v>104</v>
      </c>
      <c r="Y56" s="6" t="s">
        <v>104</v>
      </c>
      <c r="Z56" s="6">
        <v>38.1</v>
      </c>
      <c r="AA56" s="6" t="s">
        <v>104</v>
      </c>
      <c r="AB56" s="6" t="s">
        <v>104</v>
      </c>
      <c r="AC56" s="6" t="s">
        <v>104</v>
      </c>
      <c r="AD56" s="6">
        <v>38.6</v>
      </c>
      <c r="AE56" s="6" t="s">
        <v>104</v>
      </c>
    </row>
    <row r="57" spans="1:32" s="12" customFormat="1" ht="13" x14ac:dyDescent="0.15">
      <c r="A57" s="5">
        <v>56</v>
      </c>
      <c r="B57" s="16" t="s">
        <v>39</v>
      </c>
      <c r="C57" s="21">
        <v>45525</v>
      </c>
      <c r="D57" s="9" t="s">
        <v>104</v>
      </c>
      <c r="E57" s="9" t="s">
        <v>104</v>
      </c>
      <c r="F57" s="9" t="s">
        <v>104</v>
      </c>
      <c r="G57" s="10">
        <v>42.2</v>
      </c>
      <c r="H57" s="9" t="s">
        <v>104</v>
      </c>
      <c r="I57" s="9" t="s">
        <v>104</v>
      </c>
      <c r="J57" s="9" t="s">
        <v>104</v>
      </c>
      <c r="K57" s="9" t="s">
        <v>104</v>
      </c>
      <c r="L57" s="9" t="s">
        <v>104</v>
      </c>
      <c r="M57" s="9" t="s">
        <v>104</v>
      </c>
      <c r="N57" s="9" t="s">
        <v>104</v>
      </c>
      <c r="O57" s="9" t="s">
        <v>104</v>
      </c>
      <c r="P57" s="9" t="s">
        <v>104</v>
      </c>
      <c r="Q57" s="9" t="s">
        <v>104</v>
      </c>
      <c r="R57" s="9" t="s">
        <v>104</v>
      </c>
      <c r="S57" s="9" t="s">
        <v>104</v>
      </c>
      <c r="T57" s="9" t="s">
        <v>104</v>
      </c>
      <c r="U57" s="9" t="s">
        <v>104</v>
      </c>
      <c r="V57" s="10">
        <v>40.03</v>
      </c>
      <c r="W57" s="10">
        <v>39.4</v>
      </c>
      <c r="X57" s="9" t="s">
        <v>104</v>
      </c>
      <c r="Y57" s="9" t="s">
        <v>104</v>
      </c>
      <c r="Z57" s="9" t="s">
        <v>104</v>
      </c>
      <c r="AA57" s="9" t="s">
        <v>104</v>
      </c>
      <c r="AB57" s="9" t="s">
        <v>104</v>
      </c>
      <c r="AC57" s="10">
        <v>38.9</v>
      </c>
      <c r="AD57" s="10">
        <v>38.9</v>
      </c>
      <c r="AE57" s="9" t="s">
        <v>104</v>
      </c>
      <c r="AF57" s="26"/>
    </row>
    <row r="58" spans="1:32" s="12" customFormat="1" ht="13" x14ac:dyDescent="0.15">
      <c r="A58" s="5">
        <v>57</v>
      </c>
      <c r="B58" s="16" t="s">
        <v>40</v>
      </c>
      <c r="C58" s="20" t="s">
        <v>41</v>
      </c>
      <c r="D58" s="6">
        <v>39</v>
      </c>
      <c r="E58" s="6" t="s">
        <v>104</v>
      </c>
      <c r="F58" s="6" t="s">
        <v>104</v>
      </c>
      <c r="G58" s="6" t="s">
        <v>104</v>
      </c>
      <c r="H58" s="6" t="s">
        <v>104</v>
      </c>
      <c r="I58" s="6" t="s">
        <v>104</v>
      </c>
      <c r="J58" s="6" t="s">
        <v>104</v>
      </c>
      <c r="K58" s="6" t="s">
        <v>104</v>
      </c>
      <c r="L58" s="6" t="s">
        <v>104</v>
      </c>
      <c r="M58" s="6" t="s">
        <v>104</v>
      </c>
      <c r="N58" s="6" t="s">
        <v>104</v>
      </c>
      <c r="O58" s="6" t="s">
        <v>104</v>
      </c>
      <c r="P58" s="6" t="s">
        <v>104</v>
      </c>
      <c r="Q58" s="6" t="s">
        <v>104</v>
      </c>
      <c r="R58" s="6" t="s">
        <v>104</v>
      </c>
      <c r="S58" s="6" t="s">
        <v>104</v>
      </c>
      <c r="T58" s="6" t="s">
        <v>104</v>
      </c>
      <c r="U58" s="6" t="s">
        <v>104</v>
      </c>
      <c r="V58" s="6" t="s">
        <v>104</v>
      </c>
      <c r="W58" s="6" t="s">
        <v>104</v>
      </c>
      <c r="X58" s="6">
        <v>42.3</v>
      </c>
      <c r="Y58" s="6" t="s">
        <v>104</v>
      </c>
      <c r="Z58" s="6">
        <v>38</v>
      </c>
      <c r="AA58" s="6" t="s">
        <v>104</v>
      </c>
      <c r="AB58" s="6" t="s">
        <v>104</v>
      </c>
      <c r="AC58" s="6" t="s">
        <v>104</v>
      </c>
      <c r="AD58" s="6" t="s">
        <v>104</v>
      </c>
      <c r="AE58" s="6" t="s">
        <v>104</v>
      </c>
      <c r="AF58" s="26"/>
    </row>
    <row r="59" spans="1:32" s="12" customFormat="1" ht="13" x14ac:dyDescent="0.15">
      <c r="A59" s="5">
        <v>58</v>
      </c>
      <c r="B59" s="16" t="s">
        <v>42</v>
      </c>
      <c r="C59" s="20" t="s">
        <v>43</v>
      </c>
      <c r="D59" s="6">
        <v>38.5</v>
      </c>
      <c r="E59" s="6" t="s">
        <v>104</v>
      </c>
      <c r="F59" s="6">
        <v>40.9</v>
      </c>
      <c r="G59" s="6" t="s">
        <v>104</v>
      </c>
      <c r="H59" s="6" t="s">
        <v>104</v>
      </c>
      <c r="I59" s="6" t="s">
        <v>104</v>
      </c>
      <c r="J59" s="6" t="s">
        <v>104</v>
      </c>
      <c r="K59" s="6" t="s">
        <v>104</v>
      </c>
      <c r="L59" s="6">
        <v>39.6</v>
      </c>
      <c r="M59" s="6" t="s">
        <v>104</v>
      </c>
      <c r="N59" s="6">
        <v>41.8</v>
      </c>
      <c r="O59" s="6" t="s">
        <v>104</v>
      </c>
      <c r="P59" s="6" t="s">
        <v>104</v>
      </c>
      <c r="Q59" s="6" t="s">
        <v>104</v>
      </c>
      <c r="R59" s="6" t="s">
        <v>104</v>
      </c>
      <c r="S59" s="6" t="s">
        <v>104</v>
      </c>
      <c r="T59" s="6">
        <v>39.4</v>
      </c>
      <c r="U59" s="6" t="s">
        <v>104</v>
      </c>
      <c r="V59" s="6" t="s">
        <v>104</v>
      </c>
      <c r="W59" s="6" t="s">
        <v>104</v>
      </c>
      <c r="X59" s="6" t="s">
        <v>104</v>
      </c>
      <c r="Y59" s="6" t="s">
        <v>104</v>
      </c>
      <c r="Z59" s="6">
        <v>38</v>
      </c>
      <c r="AA59" s="6" t="s">
        <v>104</v>
      </c>
      <c r="AB59" s="6" t="s">
        <v>104</v>
      </c>
      <c r="AC59" s="6" t="s">
        <v>104</v>
      </c>
      <c r="AD59" s="6" t="s">
        <v>104</v>
      </c>
      <c r="AE59" s="6" t="s">
        <v>104</v>
      </c>
    </row>
    <row r="60" spans="1:32" s="12" customFormat="1" ht="13" x14ac:dyDescent="0.15">
      <c r="A60" s="5">
        <v>59</v>
      </c>
      <c r="B60" s="16" t="s">
        <v>44</v>
      </c>
      <c r="C60" s="20" t="s">
        <v>45</v>
      </c>
      <c r="D60" s="6">
        <v>38.5</v>
      </c>
      <c r="E60" s="6" t="s">
        <v>104</v>
      </c>
      <c r="F60" s="6" t="s">
        <v>104</v>
      </c>
      <c r="G60" s="6" t="s">
        <v>104</v>
      </c>
      <c r="H60" s="6">
        <v>42</v>
      </c>
      <c r="I60" s="6" t="s">
        <v>104</v>
      </c>
      <c r="J60" s="6" t="s">
        <v>104</v>
      </c>
      <c r="K60" s="6" t="s">
        <v>104</v>
      </c>
      <c r="L60" s="6">
        <v>40.9</v>
      </c>
      <c r="M60" s="6" t="s">
        <v>104</v>
      </c>
      <c r="N60" s="6">
        <v>39.9</v>
      </c>
      <c r="O60" s="6">
        <v>40.4</v>
      </c>
      <c r="P60" s="6" t="s">
        <v>104</v>
      </c>
      <c r="Q60" s="6" t="s">
        <v>104</v>
      </c>
      <c r="R60" s="6" t="s">
        <v>104</v>
      </c>
      <c r="S60" s="6" t="s">
        <v>104</v>
      </c>
      <c r="T60" s="6">
        <v>40.1</v>
      </c>
      <c r="U60" s="6" t="s">
        <v>104</v>
      </c>
      <c r="V60" s="6" t="s">
        <v>104</v>
      </c>
      <c r="W60" s="6" t="s">
        <v>104</v>
      </c>
      <c r="X60" s="6" t="s">
        <v>104</v>
      </c>
      <c r="Y60" s="6" t="s">
        <v>104</v>
      </c>
      <c r="Z60" s="6">
        <v>39.5</v>
      </c>
      <c r="AA60" s="6">
        <v>41.1</v>
      </c>
      <c r="AB60" s="6" t="s">
        <v>104</v>
      </c>
      <c r="AC60" s="6" t="s">
        <v>104</v>
      </c>
      <c r="AD60" s="6" t="s">
        <v>104</v>
      </c>
      <c r="AE60" s="6" t="s">
        <v>104</v>
      </c>
    </row>
    <row r="61" spans="1:32" s="12" customFormat="1" ht="13" x14ac:dyDescent="0.15">
      <c r="A61" s="5">
        <v>60</v>
      </c>
      <c r="B61" s="16" t="s">
        <v>46</v>
      </c>
      <c r="C61" s="21">
        <v>45543</v>
      </c>
      <c r="D61" s="6" t="s">
        <v>104</v>
      </c>
      <c r="E61" s="6">
        <v>40</v>
      </c>
      <c r="F61" s="6" t="s">
        <v>104</v>
      </c>
      <c r="G61" s="6" t="s">
        <v>104</v>
      </c>
      <c r="H61" s="6" t="s">
        <v>104</v>
      </c>
      <c r="I61" s="6" t="s">
        <v>104</v>
      </c>
      <c r="J61" s="6" t="s">
        <v>104</v>
      </c>
      <c r="K61" s="6" t="s">
        <v>104</v>
      </c>
      <c r="L61" s="6" t="s">
        <v>104</v>
      </c>
      <c r="M61" s="6" t="s">
        <v>104</v>
      </c>
      <c r="N61" s="6" t="s">
        <v>104</v>
      </c>
      <c r="O61" s="6" t="s">
        <v>104</v>
      </c>
      <c r="P61" s="6" t="s">
        <v>104</v>
      </c>
      <c r="Q61" s="6" t="s">
        <v>104</v>
      </c>
      <c r="R61" s="6" t="s">
        <v>104</v>
      </c>
      <c r="S61" s="6" t="s">
        <v>104</v>
      </c>
      <c r="T61" s="6">
        <v>40.5</v>
      </c>
      <c r="U61" s="6" t="s">
        <v>104</v>
      </c>
      <c r="V61" s="6" t="s">
        <v>104</v>
      </c>
      <c r="W61" s="6" t="s">
        <v>104</v>
      </c>
      <c r="X61" s="6" t="s">
        <v>104</v>
      </c>
      <c r="Y61" s="6" t="s">
        <v>104</v>
      </c>
      <c r="Z61" s="6">
        <v>38.799999999999997</v>
      </c>
      <c r="AA61" s="6" t="s">
        <v>104</v>
      </c>
      <c r="AB61" s="6" t="s">
        <v>104</v>
      </c>
      <c r="AC61" s="6" t="s">
        <v>104</v>
      </c>
      <c r="AD61" s="6" t="s">
        <v>104</v>
      </c>
      <c r="AE61" s="6" t="s">
        <v>104</v>
      </c>
    </row>
    <row r="62" spans="1:32" s="12" customFormat="1" ht="13" x14ac:dyDescent="0.15">
      <c r="A62" s="5">
        <v>61</v>
      </c>
      <c r="B62" s="16" t="s">
        <v>47</v>
      </c>
      <c r="C62" s="21">
        <v>45546</v>
      </c>
      <c r="D62" s="6" t="s">
        <v>104</v>
      </c>
      <c r="E62" s="6" t="s">
        <v>104</v>
      </c>
      <c r="F62" s="6" t="s">
        <v>104</v>
      </c>
      <c r="G62" s="6" t="s">
        <v>104</v>
      </c>
      <c r="H62" s="6" t="s">
        <v>104</v>
      </c>
      <c r="I62" s="6" t="s">
        <v>104</v>
      </c>
      <c r="J62" s="6" t="s">
        <v>104</v>
      </c>
      <c r="K62" s="6" t="s">
        <v>104</v>
      </c>
      <c r="L62" s="6">
        <v>39.700000000000003</v>
      </c>
      <c r="M62" s="6" t="s">
        <v>104</v>
      </c>
      <c r="N62" s="6">
        <v>38</v>
      </c>
      <c r="O62" s="6" t="s">
        <v>104</v>
      </c>
      <c r="P62" s="6">
        <v>40.5</v>
      </c>
      <c r="Q62" s="6" t="s">
        <v>104</v>
      </c>
      <c r="R62" s="6" t="s">
        <v>104</v>
      </c>
      <c r="S62" s="6" t="s">
        <v>104</v>
      </c>
      <c r="T62" s="6">
        <v>39.200000000000003</v>
      </c>
      <c r="U62" s="6">
        <v>39.799999999999997</v>
      </c>
      <c r="V62" s="6">
        <v>40.6</v>
      </c>
      <c r="W62" s="6" t="s">
        <v>104</v>
      </c>
      <c r="X62" s="6" t="s">
        <v>104</v>
      </c>
      <c r="Y62" s="6" t="s">
        <v>104</v>
      </c>
      <c r="Z62" s="6">
        <v>39.700000000000003</v>
      </c>
      <c r="AA62" s="6" t="s">
        <v>104</v>
      </c>
      <c r="AB62" s="6" t="s">
        <v>104</v>
      </c>
      <c r="AC62" s="6" t="s">
        <v>104</v>
      </c>
      <c r="AD62" s="6">
        <v>41</v>
      </c>
      <c r="AE62" s="6" t="s">
        <v>104</v>
      </c>
    </row>
    <row r="63" spans="1:32" s="12" customFormat="1" ht="13" x14ac:dyDescent="0.15">
      <c r="A63" s="5">
        <v>62</v>
      </c>
      <c r="B63" s="16" t="s">
        <v>48</v>
      </c>
      <c r="C63" s="21">
        <v>45550</v>
      </c>
      <c r="D63" s="6">
        <v>37.5</v>
      </c>
      <c r="E63" s="6" t="s">
        <v>104</v>
      </c>
      <c r="F63" s="6" t="s">
        <v>104</v>
      </c>
      <c r="G63" s="6" t="s">
        <v>104</v>
      </c>
      <c r="H63" s="6" t="s">
        <v>104</v>
      </c>
      <c r="I63" s="6" t="s">
        <v>104</v>
      </c>
      <c r="J63" s="6" t="s">
        <v>104</v>
      </c>
      <c r="K63" s="6" t="s">
        <v>104</v>
      </c>
      <c r="L63" s="6" t="s">
        <v>104</v>
      </c>
      <c r="M63" s="6" t="s">
        <v>104</v>
      </c>
      <c r="N63" s="6">
        <v>41.3</v>
      </c>
      <c r="O63" s="6" t="s">
        <v>104</v>
      </c>
      <c r="P63" s="6" t="s">
        <v>104</v>
      </c>
      <c r="Q63" s="6" t="s">
        <v>104</v>
      </c>
      <c r="R63" s="6" t="s">
        <v>104</v>
      </c>
      <c r="S63" s="6" t="s">
        <v>104</v>
      </c>
      <c r="T63" s="6">
        <v>40</v>
      </c>
      <c r="U63" s="6" t="s">
        <v>104</v>
      </c>
      <c r="V63" s="6">
        <v>40.9</v>
      </c>
      <c r="W63" s="6" t="s">
        <v>104</v>
      </c>
      <c r="X63" s="6" t="s">
        <v>104</v>
      </c>
      <c r="Y63" s="6" t="s">
        <v>104</v>
      </c>
      <c r="Z63" s="6">
        <v>39.4</v>
      </c>
      <c r="AA63" s="6" t="s">
        <v>104</v>
      </c>
      <c r="AB63" s="6" t="s">
        <v>104</v>
      </c>
      <c r="AC63" s="6" t="s">
        <v>104</v>
      </c>
      <c r="AD63" s="6">
        <v>39.700000000000003</v>
      </c>
      <c r="AE63" s="6" t="s">
        <v>104</v>
      </c>
    </row>
    <row r="64" spans="1:32" s="12" customFormat="1" ht="13" x14ac:dyDescent="0.15">
      <c r="A64" s="5">
        <v>63</v>
      </c>
      <c r="B64" s="16" t="s">
        <v>49</v>
      </c>
      <c r="C64" s="20" t="s">
        <v>50</v>
      </c>
      <c r="D64" s="6">
        <v>36.700000000000003</v>
      </c>
      <c r="E64" s="6">
        <v>39.700000000000003</v>
      </c>
      <c r="F64" s="6" t="s">
        <v>104</v>
      </c>
      <c r="G64" s="6" t="s">
        <v>104</v>
      </c>
      <c r="H64" s="6" t="s">
        <v>104</v>
      </c>
      <c r="I64" s="6" t="s">
        <v>104</v>
      </c>
      <c r="J64" s="6" t="s">
        <v>104</v>
      </c>
      <c r="K64" s="6" t="s">
        <v>104</v>
      </c>
      <c r="L64" s="6" t="s">
        <v>104</v>
      </c>
      <c r="M64" s="6" t="s">
        <v>104</v>
      </c>
      <c r="N64" s="6" t="s">
        <v>104</v>
      </c>
      <c r="O64" s="6" t="s">
        <v>104</v>
      </c>
      <c r="P64" s="6" t="s">
        <v>104</v>
      </c>
      <c r="Q64" s="6" t="s">
        <v>104</v>
      </c>
      <c r="R64" s="6" t="s">
        <v>104</v>
      </c>
      <c r="S64" s="6" t="s">
        <v>104</v>
      </c>
      <c r="T64" s="6">
        <v>39.6</v>
      </c>
      <c r="U64" s="6" t="s">
        <v>104</v>
      </c>
      <c r="V64" s="6" t="s">
        <v>104</v>
      </c>
      <c r="W64" s="6" t="s">
        <v>104</v>
      </c>
      <c r="X64" s="6" t="s">
        <v>104</v>
      </c>
      <c r="Y64" s="6" t="s">
        <v>104</v>
      </c>
      <c r="Z64" s="6">
        <v>37.799999999999997</v>
      </c>
      <c r="AA64" s="6" t="s">
        <v>104</v>
      </c>
      <c r="AB64" s="6" t="s">
        <v>104</v>
      </c>
      <c r="AC64" s="6" t="s">
        <v>104</v>
      </c>
      <c r="AD64" s="6">
        <v>39.5</v>
      </c>
      <c r="AE64" s="6" t="s">
        <v>104</v>
      </c>
    </row>
    <row r="65" spans="1:31" s="12" customFormat="1" ht="13" x14ac:dyDescent="0.15">
      <c r="A65" s="5">
        <v>64</v>
      </c>
      <c r="B65" s="16" t="s">
        <v>51</v>
      </c>
      <c r="C65" s="21">
        <v>45557</v>
      </c>
      <c r="D65" s="6">
        <v>38.700000000000003</v>
      </c>
      <c r="E65" s="6" t="s">
        <v>104</v>
      </c>
      <c r="F65" s="6" t="s">
        <v>104</v>
      </c>
      <c r="G65" s="6" t="s">
        <v>104</v>
      </c>
      <c r="H65" s="6" t="s">
        <v>104</v>
      </c>
      <c r="I65" s="6" t="s">
        <v>104</v>
      </c>
      <c r="J65" s="6" t="s">
        <v>104</v>
      </c>
      <c r="K65" s="6" t="s">
        <v>104</v>
      </c>
      <c r="L65" s="6">
        <v>40.700000000000003</v>
      </c>
      <c r="M65" s="6" t="s">
        <v>104</v>
      </c>
      <c r="N65" s="6" t="s">
        <v>104</v>
      </c>
      <c r="O65" s="6" t="s">
        <v>104</v>
      </c>
      <c r="P65" s="6" t="s">
        <v>104</v>
      </c>
      <c r="Q65" s="6" t="s">
        <v>104</v>
      </c>
      <c r="R65" s="6" t="s">
        <v>104</v>
      </c>
      <c r="S65" s="6" t="s">
        <v>104</v>
      </c>
      <c r="T65" s="6" t="s">
        <v>104</v>
      </c>
      <c r="U65" s="6" t="s">
        <v>104</v>
      </c>
      <c r="V65" s="6" t="s">
        <v>104</v>
      </c>
      <c r="W65" s="6" t="s">
        <v>104</v>
      </c>
      <c r="X65" s="6" t="s">
        <v>104</v>
      </c>
      <c r="Y65" s="6" t="s">
        <v>104</v>
      </c>
      <c r="Z65" s="6">
        <v>41.2</v>
      </c>
      <c r="AA65" s="6" t="s">
        <v>104</v>
      </c>
      <c r="AB65" s="6" t="s">
        <v>104</v>
      </c>
      <c r="AC65" s="6" t="s">
        <v>104</v>
      </c>
      <c r="AD65" s="6">
        <v>38.4</v>
      </c>
      <c r="AE65" s="6" t="s">
        <v>104</v>
      </c>
    </row>
    <row r="66" spans="1:31" s="12" customFormat="1" ht="13" x14ac:dyDescent="0.15">
      <c r="A66" s="5">
        <v>65</v>
      </c>
      <c r="B66" s="8" t="s">
        <v>156</v>
      </c>
      <c r="C66" s="7">
        <v>45560</v>
      </c>
      <c r="D66" s="8">
        <v>39.6</v>
      </c>
      <c r="E66" s="8">
        <v>39</v>
      </c>
      <c r="F66" s="6" t="s">
        <v>104</v>
      </c>
      <c r="G66" s="6" t="s">
        <v>104</v>
      </c>
      <c r="H66" s="6" t="s">
        <v>104</v>
      </c>
      <c r="I66" s="6" t="s">
        <v>104</v>
      </c>
      <c r="J66" s="6" t="s">
        <v>104</v>
      </c>
      <c r="K66" s="6" t="s">
        <v>104</v>
      </c>
      <c r="L66" s="6" t="s">
        <v>104</v>
      </c>
      <c r="M66" s="8">
        <v>40.4</v>
      </c>
      <c r="N66" s="6" t="s">
        <v>104</v>
      </c>
      <c r="O66" s="8">
        <v>40.799999999999997</v>
      </c>
      <c r="P66" s="6" t="s">
        <v>104</v>
      </c>
      <c r="Q66" s="6" t="s">
        <v>104</v>
      </c>
      <c r="R66" s="6" t="s">
        <v>104</v>
      </c>
      <c r="S66" s="6" t="s">
        <v>104</v>
      </c>
      <c r="T66" s="8">
        <v>40.799999999999997</v>
      </c>
      <c r="U66" s="6" t="s">
        <v>104</v>
      </c>
      <c r="V66" s="8">
        <v>41.3</v>
      </c>
      <c r="W66" s="6" t="s">
        <v>104</v>
      </c>
      <c r="X66" s="6" t="s">
        <v>104</v>
      </c>
      <c r="Y66" s="6" t="s">
        <v>104</v>
      </c>
      <c r="Z66" s="8">
        <v>39.799999999999997</v>
      </c>
      <c r="AA66" s="6" t="s">
        <v>104</v>
      </c>
      <c r="AB66" s="6" t="s">
        <v>104</v>
      </c>
      <c r="AC66" s="6" t="s">
        <v>104</v>
      </c>
      <c r="AD66" s="8">
        <v>39.4</v>
      </c>
      <c r="AE66" s="6" t="s">
        <v>104</v>
      </c>
    </row>
    <row r="67" spans="1:31" s="12" customFormat="1" ht="13" x14ac:dyDescent="0.15">
      <c r="A67" s="5">
        <v>66</v>
      </c>
      <c r="B67" s="16" t="s">
        <v>52</v>
      </c>
      <c r="C67" s="21">
        <v>45564</v>
      </c>
      <c r="D67" s="6">
        <v>38.200000000000003</v>
      </c>
      <c r="E67" s="6" t="s">
        <v>104</v>
      </c>
      <c r="F67" s="6" t="s">
        <v>104</v>
      </c>
      <c r="G67" s="6" t="s">
        <v>104</v>
      </c>
      <c r="H67" s="6" t="s">
        <v>104</v>
      </c>
      <c r="I67" s="6" t="s">
        <v>104</v>
      </c>
      <c r="J67" s="6" t="s">
        <v>104</v>
      </c>
      <c r="K67" s="6" t="s">
        <v>104</v>
      </c>
      <c r="L67" s="6">
        <v>41.3</v>
      </c>
      <c r="M67" s="6" t="s">
        <v>104</v>
      </c>
      <c r="N67" s="6" t="s">
        <v>104</v>
      </c>
      <c r="O67" s="6" t="s">
        <v>104</v>
      </c>
      <c r="P67" s="6" t="s">
        <v>104</v>
      </c>
      <c r="Q67" s="6" t="s">
        <v>104</v>
      </c>
      <c r="R67" s="6" t="s">
        <v>104</v>
      </c>
      <c r="S67" s="6" t="s">
        <v>104</v>
      </c>
      <c r="T67" s="6">
        <v>38.4</v>
      </c>
      <c r="U67" s="6" t="s">
        <v>104</v>
      </c>
      <c r="V67" s="6" t="s">
        <v>104</v>
      </c>
      <c r="W67" s="6" t="s">
        <v>104</v>
      </c>
      <c r="X67" s="6" t="s">
        <v>104</v>
      </c>
      <c r="Y67" s="6" t="s">
        <v>104</v>
      </c>
      <c r="Z67" s="6">
        <v>37.6</v>
      </c>
      <c r="AA67" s="6" t="s">
        <v>104</v>
      </c>
      <c r="AB67" s="6" t="s">
        <v>104</v>
      </c>
      <c r="AC67" s="6" t="s">
        <v>104</v>
      </c>
      <c r="AD67" s="6">
        <v>38.9</v>
      </c>
      <c r="AE67" s="6" t="s">
        <v>104</v>
      </c>
    </row>
    <row r="68" spans="1:31" s="12" customFormat="1" ht="13" x14ac:dyDescent="0.15">
      <c r="A68" s="5">
        <v>67</v>
      </c>
      <c r="B68" s="16" t="s">
        <v>53</v>
      </c>
      <c r="C68" s="21">
        <v>45567</v>
      </c>
      <c r="D68" s="6">
        <v>40</v>
      </c>
      <c r="E68" s="6" t="s">
        <v>104</v>
      </c>
      <c r="F68" s="6">
        <v>40.9</v>
      </c>
      <c r="G68" s="6" t="s">
        <v>104</v>
      </c>
      <c r="H68" s="6" t="s">
        <v>104</v>
      </c>
      <c r="I68" s="6" t="s">
        <v>104</v>
      </c>
      <c r="J68" s="6" t="s">
        <v>104</v>
      </c>
      <c r="K68" s="6" t="s">
        <v>104</v>
      </c>
      <c r="L68" s="6" t="s">
        <v>104</v>
      </c>
      <c r="M68" s="6" t="s">
        <v>104</v>
      </c>
      <c r="N68" s="6" t="s">
        <v>104</v>
      </c>
      <c r="O68" s="6" t="s">
        <v>104</v>
      </c>
      <c r="P68" s="6" t="s">
        <v>104</v>
      </c>
      <c r="Q68" s="6" t="s">
        <v>104</v>
      </c>
      <c r="R68" s="6" t="s">
        <v>104</v>
      </c>
      <c r="S68" s="6" t="s">
        <v>104</v>
      </c>
      <c r="T68" s="6">
        <v>41.2</v>
      </c>
      <c r="U68" s="6" t="s">
        <v>104</v>
      </c>
      <c r="V68" s="6">
        <v>41.9</v>
      </c>
      <c r="W68" s="6" t="s">
        <v>104</v>
      </c>
      <c r="X68" s="6" t="s">
        <v>104</v>
      </c>
      <c r="Y68" s="6" t="s">
        <v>104</v>
      </c>
      <c r="Z68" s="6">
        <v>38.4</v>
      </c>
      <c r="AA68" s="6" t="s">
        <v>104</v>
      </c>
      <c r="AB68" s="6" t="s">
        <v>104</v>
      </c>
      <c r="AC68" s="6" t="s">
        <v>104</v>
      </c>
      <c r="AD68" s="6">
        <v>39.9</v>
      </c>
      <c r="AE68" s="6" t="s">
        <v>104</v>
      </c>
    </row>
    <row r="69" spans="1:31" s="12" customFormat="1" ht="13" x14ac:dyDescent="0.15">
      <c r="A69" s="5">
        <v>68</v>
      </c>
      <c r="B69" s="16" t="s">
        <v>54</v>
      </c>
      <c r="C69" s="21">
        <v>45571</v>
      </c>
      <c r="D69" s="6">
        <v>39.6</v>
      </c>
      <c r="E69" s="6" t="s">
        <v>104</v>
      </c>
      <c r="F69" s="6" t="s">
        <v>104</v>
      </c>
      <c r="G69" s="6" t="s">
        <v>104</v>
      </c>
      <c r="H69" s="6" t="s">
        <v>104</v>
      </c>
      <c r="I69" s="6" t="s">
        <v>104</v>
      </c>
      <c r="J69" s="6" t="s">
        <v>104</v>
      </c>
      <c r="K69" s="6" t="s">
        <v>104</v>
      </c>
      <c r="L69" s="6" t="s">
        <v>104</v>
      </c>
      <c r="M69" s="6" t="s">
        <v>104</v>
      </c>
      <c r="N69" s="6" t="s">
        <v>104</v>
      </c>
      <c r="O69" s="6">
        <v>42.5</v>
      </c>
      <c r="P69" s="6" t="s">
        <v>104</v>
      </c>
      <c r="Q69" s="6" t="s">
        <v>104</v>
      </c>
      <c r="R69" s="6" t="s">
        <v>104</v>
      </c>
      <c r="S69" s="6" t="s">
        <v>104</v>
      </c>
      <c r="T69" s="6">
        <v>40.9</v>
      </c>
      <c r="U69" s="6" t="s">
        <v>104</v>
      </c>
      <c r="V69" s="6" t="s">
        <v>104</v>
      </c>
      <c r="W69" s="6" t="s">
        <v>104</v>
      </c>
      <c r="X69" s="6" t="s">
        <v>104</v>
      </c>
      <c r="Y69" s="6" t="s">
        <v>104</v>
      </c>
      <c r="Z69" s="6">
        <v>40.9</v>
      </c>
      <c r="AA69" s="6" t="s">
        <v>104</v>
      </c>
      <c r="AB69" s="6" t="s">
        <v>104</v>
      </c>
      <c r="AC69" s="6" t="s">
        <v>104</v>
      </c>
      <c r="AD69" s="6">
        <v>39.1</v>
      </c>
      <c r="AE69" s="6" t="s">
        <v>104</v>
      </c>
    </row>
    <row r="70" spans="1:31" s="12" customFormat="1" ht="13" x14ac:dyDescent="0.15">
      <c r="A70" s="5">
        <v>69</v>
      </c>
      <c r="B70" s="16" t="s">
        <v>55</v>
      </c>
      <c r="C70" s="21">
        <v>45574</v>
      </c>
      <c r="D70" s="6">
        <v>40.299999999999997</v>
      </c>
      <c r="E70" s="6">
        <v>39.299999999999997</v>
      </c>
      <c r="F70" s="6" t="s">
        <v>104</v>
      </c>
      <c r="G70" s="6" t="s">
        <v>104</v>
      </c>
      <c r="H70" s="6" t="s">
        <v>104</v>
      </c>
      <c r="I70" s="6" t="s">
        <v>104</v>
      </c>
      <c r="J70" s="6" t="s">
        <v>104</v>
      </c>
      <c r="K70" s="6" t="s">
        <v>104</v>
      </c>
      <c r="L70" s="6" t="s">
        <v>104</v>
      </c>
      <c r="M70" s="6" t="s">
        <v>104</v>
      </c>
      <c r="N70" s="6" t="s">
        <v>104</v>
      </c>
      <c r="O70" s="6">
        <v>40.700000000000003</v>
      </c>
      <c r="P70" s="6">
        <v>39.299999999999997</v>
      </c>
      <c r="Q70" s="6" t="s">
        <v>104</v>
      </c>
      <c r="R70" s="6" t="s">
        <v>104</v>
      </c>
      <c r="S70" s="6" t="s">
        <v>104</v>
      </c>
      <c r="T70" s="6">
        <v>41.1</v>
      </c>
      <c r="U70" s="6" t="s">
        <v>104</v>
      </c>
      <c r="V70" s="6" t="s">
        <v>104</v>
      </c>
      <c r="W70" s="6" t="s">
        <v>104</v>
      </c>
      <c r="X70" s="6" t="s">
        <v>104</v>
      </c>
      <c r="Y70" s="6" t="s">
        <v>104</v>
      </c>
      <c r="Z70" s="6">
        <v>41.9</v>
      </c>
      <c r="AA70" s="6" t="s">
        <v>104</v>
      </c>
      <c r="AB70" s="6" t="s">
        <v>104</v>
      </c>
      <c r="AC70" s="6" t="s">
        <v>104</v>
      </c>
      <c r="AD70" s="6">
        <v>39.6</v>
      </c>
      <c r="AE70" s="6" t="s">
        <v>104</v>
      </c>
    </row>
    <row r="71" spans="1:31" s="12" customFormat="1" ht="13" x14ac:dyDescent="0.15">
      <c r="A71" s="5">
        <v>70</v>
      </c>
      <c r="B71" s="16" t="s">
        <v>56</v>
      </c>
      <c r="C71" s="21">
        <v>45578</v>
      </c>
      <c r="D71" s="6">
        <v>41</v>
      </c>
      <c r="E71" s="6" t="s">
        <v>104</v>
      </c>
      <c r="F71" s="6" t="s">
        <v>104</v>
      </c>
      <c r="G71" s="6" t="s">
        <v>104</v>
      </c>
      <c r="H71" s="6" t="s">
        <v>104</v>
      </c>
      <c r="I71" s="6" t="s">
        <v>104</v>
      </c>
      <c r="J71" s="6" t="s">
        <v>104</v>
      </c>
      <c r="K71" s="6" t="s">
        <v>104</v>
      </c>
      <c r="L71" s="6">
        <v>40.5</v>
      </c>
      <c r="M71" s="6" t="s">
        <v>104</v>
      </c>
      <c r="N71" s="6" t="s">
        <v>104</v>
      </c>
      <c r="O71" s="6" t="s">
        <v>104</v>
      </c>
      <c r="P71" s="6" t="s">
        <v>104</v>
      </c>
      <c r="Q71" s="6" t="s">
        <v>104</v>
      </c>
      <c r="R71" s="6" t="s">
        <v>104</v>
      </c>
      <c r="S71" s="6" t="s">
        <v>104</v>
      </c>
      <c r="T71" s="6" t="s">
        <v>104</v>
      </c>
      <c r="U71" s="6" t="s">
        <v>104</v>
      </c>
      <c r="V71" s="6">
        <v>41.7</v>
      </c>
      <c r="W71" s="6" t="s">
        <v>104</v>
      </c>
      <c r="X71" s="6" t="s">
        <v>104</v>
      </c>
      <c r="Y71" s="6" t="s">
        <v>104</v>
      </c>
      <c r="Z71" s="6">
        <v>38.700000000000003</v>
      </c>
      <c r="AA71" s="6" t="s">
        <v>104</v>
      </c>
      <c r="AB71" s="6" t="s">
        <v>104</v>
      </c>
      <c r="AC71" s="6" t="s">
        <v>104</v>
      </c>
      <c r="AD71" s="6" t="s">
        <v>104</v>
      </c>
      <c r="AE71" s="6" t="s">
        <v>104</v>
      </c>
    </row>
    <row r="72" spans="1:31" s="12" customFormat="1" ht="13" x14ac:dyDescent="0.15">
      <c r="A72" s="5">
        <v>71</v>
      </c>
      <c r="B72" s="16" t="s">
        <v>57</v>
      </c>
      <c r="C72" s="20" t="s">
        <v>58</v>
      </c>
      <c r="D72" s="6">
        <v>36.700000000000003</v>
      </c>
      <c r="E72" s="6" t="s">
        <v>104</v>
      </c>
      <c r="F72" s="6" t="s">
        <v>104</v>
      </c>
      <c r="G72" s="6" t="s">
        <v>104</v>
      </c>
      <c r="H72" s="6" t="s">
        <v>104</v>
      </c>
      <c r="I72" s="6" t="s">
        <v>104</v>
      </c>
      <c r="J72" s="6" t="s">
        <v>104</v>
      </c>
      <c r="K72" s="6" t="s">
        <v>104</v>
      </c>
      <c r="L72" s="6">
        <v>38.799999999999997</v>
      </c>
      <c r="M72" s="6" t="s">
        <v>104</v>
      </c>
      <c r="N72" s="6">
        <v>38.299999999999997</v>
      </c>
      <c r="O72" s="6">
        <v>40.700000000000003</v>
      </c>
      <c r="P72" s="6" t="s">
        <v>104</v>
      </c>
      <c r="Q72" s="6" t="s">
        <v>104</v>
      </c>
      <c r="R72" s="6" t="s">
        <v>104</v>
      </c>
      <c r="S72" s="6" t="s">
        <v>104</v>
      </c>
      <c r="T72" s="6">
        <v>39.1</v>
      </c>
      <c r="U72" s="6" t="s">
        <v>104</v>
      </c>
      <c r="V72" s="6" t="s">
        <v>104</v>
      </c>
      <c r="W72" s="6" t="s">
        <v>104</v>
      </c>
      <c r="X72" s="6" t="s">
        <v>104</v>
      </c>
      <c r="Y72" s="6" t="s">
        <v>104</v>
      </c>
      <c r="Z72" s="6">
        <v>37.700000000000003</v>
      </c>
      <c r="AA72" s="6" t="s">
        <v>104</v>
      </c>
      <c r="AB72" s="6" t="s">
        <v>104</v>
      </c>
      <c r="AC72" s="6" t="s">
        <v>104</v>
      </c>
      <c r="AD72" s="6">
        <v>39</v>
      </c>
      <c r="AE72" s="6" t="s">
        <v>104</v>
      </c>
    </row>
    <row r="73" spans="1:31" s="12" customFormat="1" ht="13" x14ac:dyDescent="0.15">
      <c r="A73" s="5">
        <v>72</v>
      </c>
      <c r="B73" s="16" t="s">
        <v>59</v>
      </c>
      <c r="C73" s="21">
        <v>45585</v>
      </c>
      <c r="D73" s="6">
        <v>39.299999999999997</v>
      </c>
      <c r="E73" s="6" t="s">
        <v>104</v>
      </c>
      <c r="F73" s="6" t="s">
        <v>104</v>
      </c>
      <c r="G73" s="6" t="s">
        <v>104</v>
      </c>
      <c r="H73" s="6" t="s">
        <v>104</v>
      </c>
      <c r="I73" s="6" t="s">
        <v>104</v>
      </c>
      <c r="J73" s="6" t="s">
        <v>104</v>
      </c>
      <c r="K73" s="6" t="s">
        <v>104</v>
      </c>
      <c r="L73" s="6">
        <v>41.8</v>
      </c>
      <c r="M73" s="6" t="s">
        <v>104</v>
      </c>
      <c r="N73" s="6" t="s">
        <v>104</v>
      </c>
      <c r="O73" s="6">
        <v>39.799999999999997</v>
      </c>
      <c r="P73" s="6" t="s">
        <v>104</v>
      </c>
      <c r="Q73" s="6" t="s">
        <v>104</v>
      </c>
      <c r="R73" s="6" t="s">
        <v>104</v>
      </c>
      <c r="S73" s="6" t="s">
        <v>104</v>
      </c>
      <c r="T73" s="6">
        <v>37</v>
      </c>
      <c r="U73" s="6" t="s">
        <v>104</v>
      </c>
      <c r="V73" s="6">
        <v>40.799999999999997</v>
      </c>
      <c r="W73" s="6" t="s">
        <v>104</v>
      </c>
      <c r="X73" s="6">
        <v>41.7</v>
      </c>
      <c r="Y73" s="6" t="s">
        <v>104</v>
      </c>
      <c r="Z73" s="6">
        <v>38.5</v>
      </c>
      <c r="AA73" s="6" t="s">
        <v>104</v>
      </c>
      <c r="AB73" s="6" t="s">
        <v>104</v>
      </c>
      <c r="AC73" s="6" t="s">
        <v>104</v>
      </c>
      <c r="AD73" s="6" t="s">
        <v>104</v>
      </c>
      <c r="AE73" s="6" t="s">
        <v>104</v>
      </c>
    </row>
    <row r="74" spans="1:31" s="12" customFormat="1" ht="13" x14ac:dyDescent="0.15">
      <c r="A74" s="5">
        <v>73</v>
      </c>
      <c r="B74" s="16" t="s">
        <v>60</v>
      </c>
      <c r="C74" s="21">
        <v>45588</v>
      </c>
      <c r="D74" s="6">
        <v>40</v>
      </c>
      <c r="E74" s="6" t="s">
        <v>104</v>
      </c>
      <c r="F74" s="6" t="s">
        <v>104</v>
      </c>
      <c r="G74" s="6" t="s">
        <v>104</v>
      </c>
      <c r="H74" s="6" t="s">
        <v>104</v>
      </c>
      <c r="I74" s="6" t="s">
        <v>104</v>
      </c>
      <c r="J74" s="6" t="s">
        <v>104</v>
      </c>
      <c r="K74" s="6" t="s">
        <v>104</v>
      </c>
      <c r="L74" s="6" t="s">
        <v>104</v>
      </c>
      <c r="M74" s="6" t="s">
        <v>104</v>
      </c>
      <c r="N74" s="6" t="s">
        <v>104</v>
      </c>
      <c r="O74" s="6" t="s">
        <v>104</v>
      </c>
      <c r="P74" s="6" t="s">
        <v>104</v>
      </c>
      <c r="Q74" s="6" t="s">
        <v>104</v>
      </c>
      <c r="R74" s="6" t="s">
        <v>104</v>
      </c>
      <c r="S74" s="6" t="s">
        <v>104</v>
      </c>
      <c r="T74" s="6">
        <v>41.3</v>
      </c>
      <c r="U74" s="6" t="s">
        <v>104</v>
      </c>
      <c r="V74" s="6" t="s">
        <v>104</v>
      </c>
      <c r="W74" s="6" t="s">
        <v>104</v>
      </c>
      <c r="X74" s="6" t="s">
        <v>104</v>
      </c>
      <c r="Y74" s="6" t="s">
        <v>104</v>
      </c>
      <c r="Z74" s="6">
        <v>42.3</v>
      </c>
      <c r="AA74" s="6" t="s">
        <v>104</v>
      </c>
      <c r="AB74" s="6" t="s">
        <v>104</v>
      </c>
      <c r="AC74" s="6" t="s">
        <v>104</v>
      </c>
      <c r="AD74" s="6" t="s">
        <v>104</v>
      </c>
      <c r="AE74" s="6" t="s">
        <v>104</v>
      </c>
    </row>
    <row r="75" spans="1:31" s="12" customFormat="1" ht="13" x14ac:dyDescent="0.15">
      <c r="A75" s="5">
        <v>74</v>
      </c>
      <c r="B75" s="16" t="s">
        <v>61</v>
      </c>
      <c r="C75" s="21">
        <v>45592</v>
      </c>
      <c r="D75" s="6">
        <v>38</v>
      </c>
      <c r="E75" s="6" t="s">
        <v>104</v>
      </c>
      <c r="F75" s="6" t="s">
        <v>104</v>
      </c>
      <c r="G75" s="6" t="s">
        <v>104</v>
      </c>
      <c r="H75" s="6" t="s">
        <v>104</v>
      </c>
      <c r="I75" s="6" t="s">
        <v>104</v>
      </c>
      <c r="J75" s="6" t="s">
        <v>104</v>
      </c>
      <c r="K75" s="6" t="s">
        <v>104</v>
      </c>
      <c r="L75" s="6">
        <v>39.200000000000003</v>
      </c>
      <c r="M75" s="6" t="s">
        <v>104</v>
      </c>
      <c r="N75" s="6">
        <v>38.5</v>
      </c>
      <c r="O75" s="6" t="s">
        <v>104</v>
      </c>
      <c r="P75" s="6" t="s">
        <v>104</v>
      </c>
      <c r="Q75" s="6" t="s">
        <v>104</v>
      </c>
      <c r="R75" s="6" t="s">
        <v>104</v>
      </c>
      <c r="S75" s="6" t="s">
        <v>104</v>
      </c>
      <c r="T75" s="6">
        <v>39.200000000000003</v>
      </c>
      <c r="U75" s="6" t="s">
        <v>104</v>
      </c>
      <c r="V75" s="6" t="s">
        <v>104</v>
      </c>
      <c r="W75" s="6" t="s">
        <v>104</v>
      </c>
      <c r="X75" s="6" t="s">
        <v>104</v>
      </c>
      <c r="Y75" s="6" t="s">
        <v>104</v>
      </c>
      <c r="Z75" s="6">
        <v>37.6</v>
      </c>
      <c r="AA75" s="6" t="s">
        <v>104</v>
      </c>
      <c r="AB75" s="6" t="s">
        <v>104</v>
      </c>
      <c r="AC75" s="6" t="s">
        <v>104</v>
      </c>
      <c r="AD75" s="6">
        <v>40.6</v>
      </c>
      <c r="AE75" s="6" t="s">
        <v>104</v>
      </c>
    </row>
    <row r="76" spans="1:31" s="12" customFormat="1" ht="13" x14ac:dyDescent="0.15">
      <c r="A76" s="5">
        <v>75</v>
      </c>
      <c r="B76" s="8" t="s">
        <v>157</v>
      </c>
      <c r="C76" s="7">
        <v>45595</v>
      </c>
      <c r="D76" s="8">
        <v>37.9</v>
      </c>
      <c r="E76" s="6" t="s">
        <v>104</v>
      </c>
      <c r="F76" s="6" t="s">
        <v>104</v>
      </c>
      <c r="G76" s="8">
        <v>40</v>
      </c>
      <c r="H76" s="6" t="s">
        <v>104</v>
      </c>
      <c r="I76" s="6" t="s">
        <v>104</v>
      </c>
      <c r="J76" s="6" t="s">
        <v>104</v>
      </c>
      <c r="K76" s="6" t="s">
        <v>104</v>
      </c>
      <c r="L76" s="8">
        <v>40.9</v>
      </c>
      <c r="M76" s="6" t="s">
        <v>104</v>
      </c>
      <c r="N76" s="8">
        <v>40.200000000000003</v>
      </c>
      <c r="O76" s="8">
        <v>39.299999999999997</v>
      </c>
      <c r="P76" s="6" t="s">
        <v>104</v>
      </c>
      <c r="Q76" s="6" t="s">
        <v>104</v>
      </c>
      <c r="R76" s="6" t="s">
        <v>104</v>
      </c>
      <c r="S76" s="6" t="s">
        <v>104</v>
      </c>
      <c r="T76" s="8">
        <v>37.9</v>
      </c>
      <c r="U76" s="6" t="s">
        <v>104</v>
      </c>
      <c r="V76" s="6" t="s">
        <v>104</v>
      </c>
      <c r="W76" s="6" t="s">
        <v>104</v>
      </c>
      <c r="X76" s="8">
        <v>40.5</v>
      </c>
      <c r="Y76" s="6" t="s">
        <v>104</v>
      </c>
      <c r="Z76" s="8">
        <v>38.200000000000003</v>
      </c>
      <c r="AA76" s="6" t="s">
        <v>104</v>
      </c>
      <c r="AB76" s="6" t="s">
        <v>104</v>
      </c>
      <c r="AC76" s="6" t="s">
        <v>104</v>
      </c>
      <c r="AD76" s="8">
        <v>36.9</v>
      </c>
      <c r="AE76" s="6" t="s">
        <v>104</v>
      </c>
    </row>
    <row r="77" spans="1:31" s="12" customFormat="1" ht="13" x14ac:dyDescent="0.15">
      <c r="A77" s="5">
        <v>76</v>
      </c>
      <c r="B77" s="16" t="s">
        <v>62</v>
      </c>
      <c r="C77" s="20" t="s">
        <v>63</v>
      </c>
      <c r="D77" s="6">
        <v>40.700000000000003</v>
      </c>
      <c r="E77" s="6">
        <v>40</v>
      </c>
      <c r="F77" s="6" t="s">
        <v>104</v>
      </c>
      <c r="G77" s="6" t="s">
        <v>104</v>
      </c>
      <c r="H77" s="6" t="s">
        <v>104</v>
      </c>
      <c r="I77" s="6" t="s">
        <v>104</v>
      </c>
      <c r="J77" s="6" t="s">
        <v>104</v>
      </c>
      <c r="K77" s="6" t="s">
        <v>104</v>
      </c>
      <c r="L77" s="6" t="s">
        <v>104</v>
      </c>
      <c r="M77" s="6" t="s">
        <v>104</v>
      </c>
      <c r="N77" s="6">
        <v>40.5</v>
      </c>
      <c r="O77" s="6" t="s">
        <v>104</v>
      </c>
      <c r="P77" s="6" t="s">
        <v>104</v>
      </c>
      <c r="Q77" s="6" t="s">
        <v>104</v>
      </c>
      <c r="R77" s="6" t="s">
        <v>104</v>
      </c>
      <c r="S77" s="6" t="s">
        <v>104</v>
      </c>
      <c r="T77" s="6" t="s">
        <v>104</v>
      </c>
      <c r="U77" s="6" t="s">
        <v>104</v>
      </c>
      <c r="V77" s="6">
        <v>38</v>
      </c>
      <c r="W77" s="6" t="s">
        <v>104</v>
      </c>
      <c r="X77" s="6" t="s">
        <v>104</v>
      </c>
      <c r="Y77" s="6" t="s">
        <v>104</v>
      </c>
      <c r="Z77" s="6">
        <v>37.799999999999997</v>
      </c>
      <c r="AA77" s="6" t="s">
        <v>104</v>
      </c>
      <c r="AB77" s="6" t="s">
        <v>104</v>
      </c>
      <c r="AC77" s="6" t="s">
        <v>104</v>
      </c>
      <c r="AD77" s="6" t="s">
        <v>104</v>
      </c>
      <c r="AE77" s="6" t="s">
        <v>104</v>
      </c>
    </row>
    <row r="78" spans="1:31" s="12" customFormat="1" ht="13" x14ac:dyDescent="0.15">
      <c r="A78" s="5">
        <v>77</v>
      </c>
      <c r="B78" s="16" t="s">
        <v>64</v>
      </c>
      <c r="C78" s="20" t="s">
        <v>65</v>
      </c>
      <c r="D78" s="6">
        <v>36.6</v>
      </c>
      <c r="E78" s="6" t="s">
        <v>104</v>
      </c>
      <c r="F78" s="6" t="s">
        <v>104</v>
      </c>
      <c r="G78" s="6" t="s">
        <v>104</v>
      </c>
      <c r="H78" s="6" t="s">
        <v>104</v>
      </c>
      <c r="I78" s="6" t="s">
        <v>104</v>
      </c>
      <c r="J78" s="6" t="s">
        <v>104</v>
      </c>
      <c r="K78" s="6" t="s">
        <v>104</v>
      </c>
      <c r="L78" s="6">
        <v>39.6</v>
      </c>
      <c r="M78" s="6" t="s">
        <v>104</v>
      </c>
      <c r="N78" s="6">
        <v>40.9</v>
      </c>
      <c r="O78" s="6">
        <v>39.4</v>
      </c>
      <c r="P78" s="6">
        <v>39.4</v>
      </c>
      <c r="Q78" s="6">
        <v>40.200000000000003</v>
      </c>
      <c r="R78" s="6" t="s">
        <v>104</v>
      </c>
      <c r="S78" s="6" t="s">
        <v>104</v>
      </c>
      <c r="T78" s="6">
        <v>36.9</v>
      </c>
      <c r="U78" s="6" t="s">
        <v>104</v>
      </c>
      <c r="V78" s="6">
        <v>41.7</v>
      </c>
      <c r="W78" s="6" t="s">
        <v>104</v>
      </c>
      <c r="X78" s="6" t="s">
        <v>104</v>
      </c>
      <c r="Y78" s="6" t="s">
        <v>104</v>
      </c>
      <c r="Z78" s="6">
        <v>37</v>
      </c>
      <c r="AA78" s="6">
        <v>38.1</v>
      </c>
      <c r="AB78" s="6" t="s">
        <v>104</v>
      </c>
      <c r="AC78" s="6" t="s">
        <v>104</v>
      </c>
      <c r="AD78" s="6">
        <v>38.200000000000003</v>
      </c>
      <c r="AE78" s="6" t="s">
        <v>104</v>
      </c>
    </row>
    <row r="79" spans="1:31" s="12" customFormat="1" ht="13" x14ac:dyDescent="0.15">
      <c r="A79" s="5">
        <v>78</v>
      </c>
      <c r="B79" s="16" t="s">
        <v>66</v>
      </c>
      <c r="C79" s="20" t="s">
        <v>67</v>
      </c>
      <c r="D79" s="6">
        <v>37</v>
      </c>
      <c r="E79" s="6" t="s">
        <v>104</v>
      </c>
      <c r="F79" s="6" t="s">
        <v>104</v>
      </c>
      <c r="G79" s="6" t="s">
        <v>104</v>
      </c>
      <c r="H79" s="6" t="s">
        <v>104</v>
      </c>
      <c r="I79" s="6">
        <v>33.1</v>
      </c>
      <c r="J79" s="6" t="s">
        <v>104</v>
      </c>
      <c r="K79" s="6" t="s">
        <v>104</v>
      </c>
      <c r="L79" s="6">
        <v>39.799999999999997</v>
      </c>
      <c r="M79" s="6" t="s">
        <v>104</v>
      </c>
      <c r="N79" s="6">
        <v>38.1</v>
      </c>
      <c r="O79" s="6">
        <v>39.5</v>
      </c>
      <c r="P79" s="6">
        <v>38.1</v>
      </c>
      <c r="Q79" s="6" t="s">
        <v>104</v>
      </c>
      <c r="R79" s="6" t="s">
        <v>104</v>
      </c>
      <c r="S79" s="6" t="s">
        <v>104</v>
      </c>
      <c r="T79" s="6">
        <v>37.1</v>
      </c>
      <c r="U79" s="6" t="s">
        <v>104</v>
      </c>
      <c r="V79" s="6" t="s">
        <v>104</v>
      </c>
      <c r="W79" s="6" t="s">
        <v>104</v>
      </c>
      <c r="X79" s="6" t="s">
        <v>104</v>
      </c>
      <c r="Y79" s="6" t="s">
        <v>104</v>
      </c>
      <c r="Z79" s="6">
        <v>36.5</v>
      </c>
      <c r="AA79" s="6">
        <v>36.4</v>
      </c>
      <c r="AB79" s="6" t="s">
        <v>104</v>
      </c>
      <c r="AC79" s="6" t="s">
        <v>104</v>
      </c>
      <c r="AD79" s="6">
        <v>37.1</v>
      </c>
      <c r="AE79" s="6" t="s">
        <v>104</v>
      </c>
    </row>
    <row r="80" spans="1:31" s="12" customFormat="1" ht="13" x14ac:dyDescent="0.15">
      <c r="A80" s="5">
        <v>79</v>
      </c>
      <c r="B80" s="16" t="s">
        <v>68</v>
      </c>
      <c r="C80" s="21">
        <v>45609</v>
      </c>
      <c r="D80" s="6">
        <v>38.200000000000003</v>
      </c>
      <c r="E80" s="6" t="s">
        <v>104</v>
      </c>
      <c r="F80" s="6" t="s">
        <v>104</v>
      </c>
      <c r="G80" s="6" t="s">
        <v>104</v>
      </c>
      <c r="H80" s="6" t="s">
        <v>104</v>
      </c>
      <c r="I80" s="6" t="s">
        <v>104</v>
      </c>
      <c r="J80" s="6" t="s">
        <v>104</v>
      </c>
      <c r="K80" s="6">
        <v>41.2</v>
      </c>
      <c r="L80" s="6">
        <v>41.1</v>
      </c>
      <c r="M80" s="6" t="s">
        <v>104</v>
      </c>
      <c r="N80" s="6">
        <v>39.299999999999997</v>
      </c>
      <c r="O80" s="6">
        <v>40.9</v>
      </c>
      <c r="P80" s="6" t="s">
        <v>104</v>
      </c>
      <c r="Q80" s="6" t="s">
        <v>104</v>
      </c>
      <c r="R80" s="6" t="s">
        <v>104</v>
      </c>
      <c r="S80" s="6" t="s">
        <v>104</v>
      </c>
      <c r="T80" s="6">
        <v>38</v>
      </c>
      <c r="U80" s="6" t="s">
        <v>104</v>
      </c>
      <c r="V80" s="6" t="s">
        <v>104</v>
      </c>
      <c r="W80" s="6" t="s">
        <v>104</v>
      </c>
      <c r="X80" s="6">
        <v>40.9</v>
      </c>
      <c r="Y80" s="6" t="s">
        <v>104</v>
      </c>
      <c r="Z80" s="6">
        <v>36.799999999999997</v>
      </c>
      <c r="AA80" s="6" t="s">
        <v>104</v>
      </c>
      <c r="AB80" s="6" t="s">
        <v>104</v>
      </c>
      <c r="AC80" s="6" t="s">
        <v>104</v>
      </c>
      <c r="AD80" s="6">
        <v>40.4</v>
      </c>
      <c r="AE80" s="6" t="s">
        <v>104</v>
      </c>
    </row>
    <row r="81" spans="1:31" s="12" customFormat="1" ht="13" x14ac:dyDescent="0.15">
      <c r="A81" s="5">
        <v>80</v>
      </c>
      <c r="B81" s="16" t="s">
        <v>69</v>
      </c>
      <c r="C81" s="21">
        <v>45613</v>
      </c>
      <c r="D81" s="6">
        <v>37.6</v>
      </c>
      <c r="E81" s="6" t="s">
        <v>104</v>
      </c>
      <c r="F81" s="6" t="s">
        <v>104</v>
      </c>
      <c r="G81" s="6" t="s">
        <v>104</v>
      </c>
      <c r="H81" s="6">
        <v>39.799999999999997</v>
      </c>
      <c r="I81" s="6" t="s">
        <v>104</v>
      </c>
      <c r="J81" s="6" t="s">
        <v>104</v>
      </c>
      <c r="K81" s="6" t="s">
        <v>104</v>
      </c>
      <c r="L81" s="6" t="s">
        <v>104</v>
      </c>
      <c r="M81" s="6" t="s">
        <v>104</v>
      </c>
      <c r="N81" s="6">
        <v>41.5</v>
      </c>
      <c r="O81" s="6" t="s">
        <v>104</v>
      </c>
      <c r="P81" s="6" t="s">
        <v>104</v>
      </c>
      <c r="Q81" s="6" t="s">
        <v>104</v>
      </c>
      <c r="R81" s="6" t="s">
        <v>104</v>
      </c>
      <c r="S81" s="6" t="s">
        <v>104</v>
      </c>
      <c r="T81" s="6">
        <v>39.5</v>
      </c>
      <c r="U81" s="6" t="s">
        <v>104</v>
      </c>
      <c r="V81" s="6">
        <v>40</v>
      </c>
      <c r="W81" s="6" t="s">
        <v>104</v>
      </c>
      <c r="X81" s="6" t="s">
        <v>104</v>
      </c>
      <c r="Y81" s="6" t="s">
        <v>104</v>
      </c>
      <c r="Z81" s="6">
        <v>38.200000000000003</v>
      </c>
      <c r="AA81" s="6" t="s">
        <v>104</v>
      </c>
      <c r="AB81" s="6" t="s">
        <v>104</v>
      </c>
      <c r="AC81" s="6" t="s">
        <v>104</v>
      </c>
      <c r="AD81" s="6">
        <v>39.200000000000003</v>
      </c>
      <c r="AE81" s="6" t="s">
        <v>104</v>
      </c>
    </row>
    <row r="82" spans="1:31" s="12" customFormat="1" ht="13" x14ac:dyDescent="0.15">
      <c r="A82" s="5">
        <v>81</v>
      </c>
      <c r="B82" s="16" t="s">
        <v>70</v>
      </c>
      <c r="C82" s="20" t="s">
        <v>71</v>
      </c>
      <c r="D82" s="6">
        <v>39.9</v>
      </c>
      <c r="E82" s="6">
        <v>30.7</v>
      </c>
      <c r="F82" s="6" t="s">
        <v>104</v>
      </c>
      <c r="G82" s="6" t="s">
        <v>104</v>
      </c>
      <c r="H82" s="6" t="s">
        <v>104</v>
      </c>
      <c r="I82" s="6" t="s">
        <v>104</v>
      </c>
      <c r="J82" s="6" t="s">
        <v>104</v>
      </c>
      <c r="K82" s="6" t="s">
        <v>104</v>
      </c>
      <c r="L82" s="6">
        <v>38.4</v>
      </c>
      <c r="M82" s="6" t="s">
        <v>104</v>
      </c>
      <c r="N82" s="6">
        <v>40.299999999999997</v>
      </c>
      <c r="O82" s="6">
        <v>38.799999999999997</v>
      </c>
      <c r="P82" s="6" t="s">
        <v>104</v>
      </c>
      <c r="Q82" s="6" t="s">
        <v>104</v>
      </c>
      <c r="R82" s="6" t="s">
        <v>104</v>
      </c>
      <c r="S82" s="6" t="s">
        <v>104</v>
      </c>
      <c r="T82" s="6">
        <v>38.700000000000003</v>
      </c>
      <c r="U82" s="6" t="s">
        <v>104</v>
      </c>
      <c r="V82" s="6" t="s">
        <v>104</v>
      </c>
      <c r="W82" s="6" t="s">
        <v>104</v>
      </c>
      <c r="X82" s="6" t="s">
        <v>104</v>
      </c>
      <c r="Y82" s="6" t="s">
        <v>104</v>
      </c>
      <c r="Z82" s="6">
        <v>38.6</v>
      </c>
      <c r="AA82" s="6" t="s">
        <v>104</v>
      </c>
      <c r="AB82" s="6" t="s">
        <v>104</v>
      </c>
      <c r="AC82" s="6" t="s">
        <v>104</v>
      </c>
      <c r="AD82" s="6">
        <v>38.700000000000003</v>
      </c>
      <c r="AE82" s="6" t="s">
        <v>104</v>
      </c>
    </row>
    <row r="83" spans="1:31" s="12" customFormat="1" ht="13" x14ac:dyDescent="0.15">
      <c r="A83" s="5">
        <v>82</v>
      </c>
      <c r="B83" s="16" t="s">
        <v>72</v>
      </c>
      <c r="C83" s="20" t="s">
        <v>73</v>
      </c>
      <c r="D83" s="6">
        <v>37.700000000000003</v>
      </c>
      <c r="E83" s="6" t="s">
        <v>104</v>
      </c>
      <c r="F83" s="6" t="s">
        <v>104</v>
      </c>
      <c r="G83" s="6" t="s">
        <v>104</v>
      </c>
      <c r="H83" s="6" t="s">
        <v>104</v>
      </c>
      <c r="I83" s="6" t="s">
        <v>104</v>
      </c>
      <c r="J83" s="6" t="s">
        <v>104</v>
      </c>
      <c r="K83" s="6" t="s">
        <v>104</v>
      </c>
      <c r="L83" s="6">
        <v>38.700000000000003</v>
      </c>
      <c r="M83" s="6" t="s">
        <v>104</v>
      </c>
      <c r="N83" s="6" t="s">
        <v>104</v>
      </c>
      <c r="O83" s="6" t="s">
        <v>104</v>
      </c>
      <c r="P83" s="6" t="s">
        <v>104</v>
      </c>
      <c r="Q83" s="6" t="s">
        <v>104</v>
      </c>
      <c r="R83" s="6" t="s">
        <v>104</v>
      </c>
      <c r="S83" s="6" t="s">
        <v>104</v>
      </c>
      <c r="T83" s="6">
        <v>39.5</v>
      </c>
      <c r="U83" s="6">
        <v>39.1</v>
      </c>
      <c r="V83" s="6" t="s">
        <v>104</v>
      </c>
      <c r="W83" s="6" t="s">
        <v>104</v>
      </c>
      <c r="X83" s="6" t="s">
        <v>104</v>
      </c>
      <c r="Y83" s="6" t="s">
        <v>104</v>
      </c>
      <c r="Z83" s="6">
        <v>38.700000000000003</v>
      </c>
      <c r="AA83" s="6" t="s">
        <v>104</v>
      </c>
      <c r="AB83" s="6" t="s">
        <v>104</v>
      </c>
      <c r="AC83" s="6" t="s">
        <v>104</v>
      </c>
      <c r="AD83" s="6">
        <v>38.700000000000003</v>
      </c>
      <c r="AE83" s="6" t="s">
        <v>104</v>
      </c>
    </row>
    <row r="84" spans="1:31" s="12" customFormat="1" ht="13" x14ac:dyDescent="0.15">
      <c r="A84" s="5">
        <v>83</v>
      </c>
      <c r="B84" s="8" t="s">
        <v>158</v>
      </c>
      <c r="C84" s="7">
        <v>45623</v>
      </c>
      <c r="D84" s="8">
        <v>38.4</v>
      </c>
      <c r="E84" s="6" t="s">
        <v>104</v>
      </c>
      <c r="F84" s="6" t="s">
        <v>104</v>
      </c>
      <c r="G84" s="6" t="s">
        <v>104</v>
      </c>
      <c r="H84" s="6" t="s">
        <v>104</v>
      </c>
      <c r="I84" s="6" t="s">
        <v>104</v>
      </c>
      <c r="J84" s="6" t="s">
        <v>104</v>
      </c>
      <c r="K84" s="8">
        <v>40.4</v>
      </c>
      <c r="L84" s="8">
        <v>37.700000000000003</v>
      </c>
      <c r="M84" s="6" t="s">
        <v>104</v>
      </c>
      <c r="N84" s="8">
        <v>39.799999999999997</v>
      </c>
      <c r="O84" s="8">
        <v>40.6</v>
      </c>
      <c r="P84" s="6" t="s">
        <v>104</v>
      </c>
      <c r="Q84" s="6" t="s">
        <v>104</v>
      </c>
      <c r="R84" s="6" t="s">
        <v>104</v>
      </c>
      <c r="S84" s="6" t="s">
        <v>104</v>
      </c>
      <c r="T84" s="8">
        <v>37.799999999999997</v>
      </c>
      <c r="U84" s="6" t="s">
        <v>104</v>
      </c>
      <c r="V84" s="6" t="s">
        <v>104</v>
      </c>
      <c r="W84" s="6" t="s">
        <v>104</v>
      </c>
      <c r="X84" s="6" t="s">
        <v>104</v>
      </c>
      <c r="Y84" s="6" t="s">
        <v>104</v>
      </c>
      <c r="Z84" s="8">
        <v>38.1</v>
      </c>
      <c r="AA84" s="6" t="s">
        <v>104</v>
      </c>
      <c r="AB84" s="6" t="s">
        <v>104</v>
      </c>
      <c r="AC84" s="6" t="s">
        <v>104</v>
      </c>
      <c r="AD84" s="6" t="s">
        <v>104</v>
      </c>
      <c r="AE84" s="6" t="s">
        <v>104</v>
      </c>
    </row>
    <row r="85" spans="1:31" s="12" customFormat="1" ht="13" x14ac:dyDescent="0.15">
      <c r="A85" s="5">
        <v>84</v>
      </c>
      <c r="B85" s="16" t="s">
        <v>74</v>
      </c>
      <c r="C85" s="20" t="s">
        <v>75</v>
      </c>
      <c r="D85" s="6">
        <v>38.299999999999997</v>
      </c>
      <c r="E85" s="6" t="s">
        <v>104</v>
      </c>
      <c r="F85" s="6">
        <v>40.9</v>
      </c>
      <c r="G85" s="6" t="s">
        <v>104</v>
      </c>
      <c r="H85" s="6" t="s">
        <v>104</v>
      </c>
      <c r="I85" s="6" t="s">
        <v>104</v>
      </c>
      <c r="J85" s="6" t="s">
        <v>104</v>
      </c>
      <c r="K85" s="6" t="s">
        <v>104</v>
      </c>
      <c r="L85" s="6" t="s">
        <v>104</v>
      </c>
      <c r="M85" s="6" t="s">
        <v>104</v>
      </c>
      <c r="N85" s="6" t="s">
        <v>104</v>
      </c>
      <c r="O85" s="6" t="s">
        <v>104</v>
      </c>
      <c r="P85" s="6">
        <v>39.9</v>
      </c>
      <c r="Q85" s="6">
        <v>40.5</v>
      </c>
      <c r="R85" s="6" t="s">
        <v>104</v>
      </c>
      <c r="S85" s="6" t="s">
        <v>104</v>
      </c>
      <c r="T85" s="6">
        <v>38.5</v>
      </c>
      <c r="U85" s="6" t="s">
        <v>104</v>
      </c>
      <c r="V85" s="6">
        <v>39.9</v>
      </c>
      <c r="W85" s="6" t="s">
        <v>104</v>
      </c>
      <c r="X85" s="6" t="s">
        <v>104</v>
      </c>
      <c r="Y85" s="6" t="s">
        <v>104</v>
      </c>
      <c r="Z85" s="6">
        <v>39.1</v>
      </c>
      <c r="AA85" s="6" t="s">
        <v>104</v>
      </c>
      <c r="AB85" s="6" t="s">
        <v>104</v>
      </c>
      <c r="AC85" s="6" t="s">
        <v>104</v>
      </c>
      <c r="AD85" s="6" t="s">
        <v>104</v>
      </c>
      <c r="AE85" s="6" t="s">
        <v>104</v>
      </c>
    </row>
    <row r="86" spans="1:31" s="12" customFormat="1" ht="13" x14ac:dyDescent="0.15">
      <c r="A86" s="5">
        <v>85</v>
      </c>
      <c r="B86" s="16" t="s">
        <v>76</v>
      </c>
      <c r="C86" s="20" t="s">
        <v>77</v>
      </c>
      <c r="D86" s="6">
        <v>37.6</v>
      </c>
      <c r="E86" s="6" t="s">
        <v>104</v>
      </c>
      <c r="F86" s="6">
        <v>41.5</v>
      </c>
      <c r="G86" s="6" t="s">
        <v>104</v>
      </c>
      <c r="H86" s="6" t="s">
        <v>104</v>
      </c>
      <c r="I86" s="6" t="s">
        <v>104</v>
      </c>
      <c r="J86" s="6" t="s">
        <v>104</v>
      </c>
      <c r="K86" s="6" t="s">
        <v>104</v>
      </c>
      <c r="L86" s="6">
        <v>39</v>
      </c>
      <c r="M86" s="6" t="s">
        <v>104</v>
      </c>
      <c r="N86" s="6">
        <v>42.1</v>
      </c>
      <c r="O86" s="6" t="s">
        <v>104</v>
      </c>
      <c r="P86" s="6" t="s">
        <v>104</v>
      </c>
      <c r="Q86" s="6" t="s">
        <v>104</v>
      </c>
      <c r="R86" s="6" t="s">
        <v>104</v>
      </c>
      <c r="S86" s="6" t="s">
        <v>104</v>
      </c>
      <c r="T86" s="6">
        <v>40.299999999999997</v>
      </c>
      <c r="U86" s="6" t="s">
        <v>104</v>
      </c>
      <c r="V86" s="6">
        <v>41.4</v>
      </c>
      <c r="W86" s="6" t="s">
        <v>104</v>
      </c>
      <c r="X86" s="6">
        <v>40.799999999999997</v>
      </c>
      <c r="Y86" s="6" t="s">
        <v>104</v>
      </c>
      <c r="Z86" s="6">
        <v>37</v>
      </c>
      <c r="AA86" s="6" t="s">
        <v>104</v>
      </c>
      <c r="AB86" s="6" t="s">
        <v>104</v>
      </c>
      <c r="AC86" s="6" t="s">
        <v>104</v>
      </c>
      <c r="AD86" s="6">
        <v>37.5</v>
      </c>
      <c r="AE86" s="6" t="s">
        <v>104</v>
      </c>
    </row>
    <row r="87" spans="1:31" s="12" customFormat="1" ht="13" x14ac:dyDescent="0.15">
      <c r="A87" s="5">
        <v>86</v>
      </c>
      <c r="B87" s="16" t="s">
        <v>78</v>
      </c>
      <c r="C87" s="20" t="s">
        <v>79</v>
      </c>
      <c r="D87" s="6">
        <v>37.4</v>
      </c>
      <c r="E87" s="6">
        <v>38.700000000000003</v>
      </c>
      <c r="F87" s="6" t="s">
        <v>104</v>
      </c>
      <c r="G87" s="6" t="s">
        <v>104</v>
      </c>
      <c r="H87" s="6" t="s">
        <v>104</v>
      </c>
      <c r="I87" s="6" t="s">
        <v>104</v>
      </c>
      <c r="J87" s="6" t="s">
        <v>104</v>
      </c>
      <c r="K87" s="6" t="s">
        <v>104</v>
      </c>
      <c r="L87" s="6">
        <v>40</v>
      </c>
      <c r="M87" s="6" t="s">
        <v>104</v>
      </c>
      <c r="N87" s="6" t="s">
        <v>104</v>
      </c>
      <c r="O87" s="6" t="s">
        <v>104</v>
      </c>
      <c r="P87" s="6" t="s">
        <v>104</v>
      </c>
      <c r="Q87" s="6" t="s">
        <v>104</v>
      </c>
      <c r="R87" s="6" t="s">
        <v>104</v>
      </c>
      <c r="S87" s="6" t="s">
        <v>104</v>
      </c>
      <c r="T87" s="6">
        <v>39</v>
      </c>
      <c r="U87" s="6">
        <v>39.6</v>
      </c>
      <c r="V87" s="6" t="s">
        <v>104</v>
      </c>
      <c r="W87" s="6" t="s">
        <v>104</v>
      </c>
      <c r="X87" s="6">
        <v>41.5</v>
      </c>
      <c r="Y87" s="6" t="s">
        <v>104</v>
      </c>
      <c r="Z87" s="6">
        <v>39.4</v>
      </c>
      <c r="AA87" s="6" t="s">
        <v>104</v>
      </c>
      <c r="AB87" s="6" t="s">
        <v>104</v>
      </c>
      <c r="AC87" s="6" t="s">
        <v>104</v>
      </c>
      <c r="AD87" s="6">
        <v>40.299999999999997</v>
      </c>
      <c r="AE87" s="6" t="s">
        <v>104</v>
      </c>
    </row>
    <row r="88" spans="1:31" s="12" customFormat="1" ht="13" x14ac:dyDescent="0.15">
      <c r="A88" s="5">
        <v>87</v>
      </c>
      <c r="B88" s="16" t="s">
        <v>80</v>
      </c>
      <c r="C88" s="21">
        <v>45637</v>
      </c>
      <c r="D88" s="6">
        <v>37.6</v>
      </c>
      <c r="E88" s="6" t="s">
        <v>104</v>
      </c>
      <c r="F88" s="6" t="s">
        <v>104</v>
      </c>
      <c r="G88" s="6" t="s">
        <v>104</v>
      </c>
      <c r="H88" s="6" t="s">
        <v>104</v>
      </c>
      <c r="I88" s="6" t="s">
        <v>104</v>
      </c>
      <c r="J88" s="6" t="s">
        <v>104</v>
      </c>
      <c r="K88" s="6" t="s">
        <v>104</v>
      </c>
      <c r="L88" s="6">
        <v>39</v>
      </c>
      <c r="M88" s="6" t="s">
        <v>104</v>
      </c>
      <c r="N88" s="6">
        <v>42.1</v>
      </c>
      <c r="O88" s="6">
        <v>40.6</v>
      </c>
      <c r="P88" s="6" t="s">
        <v>104</v>
      </c>
      <c r="Q88" s="6" t="s">
        <v>104</v>
      </c>
      <c r="R88" s="6" t="s">
        <v>104</v>
      </c>
      <c r="S88" s="6" t="s">
        <v>104</v>
      </c>
      <c r="T88" s="6">
        <v>38.5</v>
      </c>
      <c r="U88" s="6" t="s">
        <v>104</v>
      </c>
      <c r="V88" s="6">
        <v>40.5</v>
      </c>
      <c r="W88" s="6" t="s">
        <v>104</v>
      </c>
      <c r="X88" s="6" t="s">
        <v>104</v>
      </c>
      <c r="Y88" s="6" t="s">
        <v>104</v>
      </c>
      <c r="Z88" s="6">
        <v>38.6</v>
      </c>
      <c r="AA88" s="6" t="s">
        <v>104</v>
      </c>
      <c r="AB88" s="6" t="s">
        <v>104</v>
      </c>
      <c r="AC88" s="6" t="s">
        <v>104</v>
      </c>
      <c r="AD88" s="6">
        <v>39.700000000000003</v>
      </c>
      <c r="AE88" s="6" t="s">
        <v>104</v>
      </c>
    </row>
    <row r="89" spans="1:31" s="12" customFormat="1" ht="13" x14ac:dyDescent="0.15">
      <c r="A89" s="5">
        <v>88</v>
      </c>
      <c r="B89" s="16" t="s">
        <v>81</v>
      </c>
      <c r="C89" s="20" t="s">
        <v>82</v>
      </c>
      <c r="D89" s="6">
        <v>38.299999999999997</v>
      </c>
      <c r="E89" s="6">
        <v>36.200000000000003</v>
      </c>
      <c r="F89" s="6" t="s">
        <v>104</v>
      </c>
      <c r="G89" s="6" t="s">
        <v>104</v>
      </c>
      <c r="H89" s="6" t="s">
        <v>104</v>
      </c>
      <c r="I89" s="6" t="s">
        <v>104</v>
      </c>
      <c r="J89" s="6" t="s">
        <v>104</v>
      </c>
      <c r="K89" s="6" t="s">
        <v>104</v>
      </c>
      <c r="L89" s="6">
        <v>38.5</v>
      </c>
      <c r="M89" s="6" t="s">
        <v>104</v>
      </c>
      <c r="N89" s="6" t="s">
        <v>104</v>
      </c>
      <c r="O89" s="6" t="s">
        <v>104</v>
      </c>
      <c r="P89" s="6" t="s">
        <v>104</v>
      </c>
      <c r="Q89" s="6" t="s">
        <v>104</v>
      </c>
      <c r="R89" s="6" t="s">
        <v>104</v>
      </c>
      <c r="S89" s="6" t="s">
        <v>104</v>
      </c>
      <c r="T89" s="6" t="s">
        <v>104</v>
      </c>
      <c r="U89" s="6" t="s">
        <v>104</v>
      </c>
      <c r="V89" s="6" t="s">
        <v>104</v>
      </c>
      <c r="W89" s="6" t="s">
        <v>104</v>
      </c>
      <c r="X89" s="6">
        <v>42.5</v>
      </c>
      <c r="Y89" s="6" t="s">
        <v>104</v>
      </c>
      <c r="Z89" s="6">
        <v>39.6</v>
      </c>
      <c r="AA89" s="6">
        <v>39.5</v>
      </c>
      <c r="AB89" s="6" t="s">
        <v>104</v>
      </c>
      <c r="AC89" s="6" t="s">
        <v>104</v>
      </c>
      <c r="AD89" s="6">
        <v>37.799999999999997</v>
      </c>
      <c r="AE89" s="6" t="s">
        <v>104</v>
      </c>
    </row>
    <row r="90" spans="1:31" s="12" customFormat="1" ht="13" x14ac:dyDescent="0.15">
      <c r="A90" s="5">
        <v>89</v>
      </c>
      <c r="B90" s="16" t="s">
        <v>83</v>
      </c>
      <c r="C90" s="20" t="s">
        <v>84</v>
      </c>
      <c r="D90" s="6" t="s">
        <v>104</v>
      </c>
      <c r="E90" s="6" t="s">
        <v>104</v>
      </c>
      <c r="F90" s="6" t="s">
        <v>104</v>
      </c>
      <c r="G90" s="6" t="s">
        <v>104</v>
      </c>
      <c r="H90" s="6" t="s">
        <v>104</v>
      </c>
      <c r="I90" s="6" t="s">
        <v>104</v>
      </c>
      <c r="J90" s="6" t="s">
        <v>104</v>
      </c>
      <c r="K90" s="6" t="s">
        <v>104</v>
      </c>
      <c r="L90" s="6">
        <v>41.6</v>
      </c>
      <c r="M90" s="6" t="s">
        <v>104</v>
      </c>
      <c r="N90" s="6" t="s">
        <v>104</v>
      </c>
      <c r="O90" s="6" t="s">
        <v>104</v>
      </c>
      <c r="P90" s="6" t="s">
        <v>104</v>
      </c>
      <c r="Q90" s="6" t="s">
        <v>104</v>
      </c>
      <c r="R90" s="6" t="s">
        <v>104</v>
      </c>
      <c r="S90" s="6" t="s">
        <v>104</v>
      </c>
      <c r="T90" s="6" t="s">
        <v>104</v>
      </c>
      <c r="U90" s="6" t="s">
        <v>104</v>
      </c>
      <c r="V90" s="6" t="s">
        <v>104</v>
      </c>
      <c r="W90" s="6" t="s">
        <v>104</v>
      </c>
      <c r="X90" s="6" t="s">
        <v>104</v>
      </c>
      <c r="Y90" s="6" t="s">
        <v>104</v>
      </c>
      <c r="Z90" s="6">
        <v>39.200000000000003</v>
      </c>
      <c r="AA90" s="6" t="s">
        <v>104</v>
      </c>
      <c r="AB90" s="6" t="s">
        <v>104</v>
      </c>
      <c r="AC90" s="6" t="s">
        <v>104</v>
      </c>
      <c r="AD90" s="6" t="s">
        <v>104</v>
      </c>
      <c r="AE90" s="6" t="s">
        <v>104</v>
      </c>
    </row>
    <row r="91" spans="1:31" s="12" customFormat="1" ht="13" x14ac:dyDescent="0.15">
      <c r="A91" s="5">
        <v>90</v>
      </c>
      <c r="B91" s="16" t="s">
        <v>85</v>
      </c>
      <c r="C91" s="20" t="s">
        <v>86</v>
      </c>
      <c r="D91" s="6">
        <v>38.799999999999997</v>
      </c>
      <c r="E91" s="6" t="s">
        <v>104</v>
      </c>
      <c r="F91" s="6" t="s">
        <v>104</v>
      </c>
      <c r="G91" s="6" t="s">
        <v>104</v>
      </c>
      <c r="H91" s="6" t="s">
        <v>104</v>
      </c>
      <c r="I91" s="6" t="s">
        <v>104</v>
      </c>
      <c r="J91" s="6" t="s">
        <v>104</v>
      </c>
      <c r="K91" s="6" t="s">
        <v>104</v>
      </c>
      <c r="L91" s="6">
        <v>39.9</v>
      </c>
      <c r="M91" s="6" t="s">
        <v>104</v>
      </c>
      <c r="N91" s="6">
        <v>39.9</v>
      </c>
      <c r="O91" s="6">
        <v>40.1</v>
      </c>
      <c r="P91" s="6">
        <v>39.700000000000003</v>
      </c>
      <c r="Q91" s="6" t="s">
        <v>104</v>
      </c>
      <c r="R91" s="6" t="s">
        <v>104</v>
      </c>
      <c r="S91" s="6" t="s">
        <v>104</v>
      </c>
      <c r="T91" s="6">
        <v>38.200000000000003</v>
      </c>
      <c r="U91" s="6" t="s">
        <v>104</v>
      </c>
      <c r="V91" s="6">
        <v>41.2</v>
      </c>
      <c r="W91" s="6" t="s">
        <v>104</v>
      </c>
      <c r="X91" s="6" t="s">
        <v>104</v>
      </c>
      <c r="Y91" s="6" t="s">
        <v>104</v>
      </c>
      <c r="Z91" s="6">
        <v>38.9</v>
      </c>
      <c r="AA91" s="6" t="s">
        <v>104</v>
      </c>
      <c r="AB91" s="6">
        <v>41.5</v>
      </c>
      <c r="AC91" s="6" t="s">
        <v>104</v>
      </c>
      <c r="AD91" s="6" t="s">
        <v>104</v>
      </c>
      <c r="AE91" s="6" t="s">
        <v>104</v>
      </c>
    </row>
    <row r="92" spans="1:31" s="12" customFormat="1" ht="13" x14ac:dyDescent="0.15">
      <c r="A92" s="5">
        <v>91</v>
      </c>
      <c r="B92" s="8" t="s">
        <v>159</v>
      </c>
      <c r="C92" s="7">
        <v>45651</v>
      </c>
      <c r="D92" s="8">
        <v>38.1</v>
      </c>
      <c r="E92" s="6" t="s">
        <v>104</v>
      </c>
      <c r="F92" s="6" t="s">
        <v>104</v>
      </c>
      <c r="G92" s="6" t="s">
        <v>104</v>
      </c>
      <c r="H92" s="6" t="s">
        <v>104</v>
      </c>
      <c r="I92" s="6" t="s">
        <v>104</v>
      </c>
      <c r="J92" s="6" t="s">
        <v>104</v>
      </c>
      <c r="K92" s="6" t="s">
        <v>104</v>
      </c>
      <c r="L92" s="8">
        <v>40.700000000000003</v>
      </c>
      <c r="M92" s="6" t="s">
        <v>104</v>
      </c>
      <c r="N92" s="6" t="s">
        <v>104</v>
      </c>
      <c r="O92" s="6" t="s">
        <v>104</v>
      </c>
      <c r="P92" s="6" t="s">
        <v>104</v>
      </c>
      <c r="Q92" s="6" t="s">
        <v>104</v>
      </c>
      <c r="R92" s="6" t="s">
        <v>104</v>
      </c>
      <c r="S92" s="6" t="s">
        <v>104</v>
      </c>
      <c r="T92" s="8">
        <v>39</v>
      </c>
      <c r="U92" s="8">
        <v>42.2</v>
      </c>
      <c r="V92" s="6" t="s">
        <v>104</v>
      </c>
      <c r="W92" s="6" t="s">
        <v>104</v>
      </c>
      <c r="X92" s="6" t="s">
        <v>104</v>
      </c>
      <c r="Y92" s="6" t="s">
        <v>104</v>
      </c>
      <c r="Z92" s="8">
        <v>38.1</v>
      </c>
      <c r="AA92" s="6" t="s">
        <v>104</v>
      </c>
      <c r="AB92" s="6" t="s">
        <v>104</v>
      </c>
      <c r="AC92" s="6" t="s">
        <v>104</v>
      </c>
      <c r="AD92" s="6" t="s">
        <v>104</v>
      </c>
      <c r="AE92" s="6" t="s">
        <v>104</v>
      </c>
    </row>
    <row r="93" spans="1:31" s="12" customFormat="1" ht="13" x14ac:dyDescent="0.15">
      <c r="A93" s="5">
        <v>92</v>
      </c>
      <c r="B93" s="16" t="s">
        <v>87</v>
      </c>
      <c r="C93" s="20" t="s">
        <v>88</v>
      </c>
      <c r="D93" s="6">
        <v>37.4</v>
      </c>
      <c r="E93" s="6">
        <v>39.1</v>
      </c>
      <c r="F93" s="6" t="s">
        <v>104</v>
      </c>
      <c r="G93" s="6" t="s">
        <v>104</v>
      </c>
      <c r="H93" s="6" t="s">
        <v>104</v>
      </c>
      <c r="I93" s="6" t="s">
        <v>104</v>
      </c>
      <c r="J93" s="6" t="s">
        <v>104</v>
      </c>
      <c r="K93" s="6">
        <v>40.9</v>
      </c>
      <c r="L93" s="6">
        <v>39.4</v>
      </c>
      <c r="M93" s="6" t="s">
        <v>104</v>
      </c>
      <c r="N93" s="6">
        <v>41.6</v>
      </c>
      <c r="O93" s="6">
        <v>41.3</v>
      </c>
      <c r="P93" s="6" t="s">
        <v>104</v>
      </c>
      <c r="Q93" s="6" t="s">
        <v>104</v>
      </c>
      <c r="R93" s="6" t="s">
        <v>104</v>
      </c>
      <c r="S93" s="6" t="s">
        <v>104</v>
      </c>
      <c r="T93" s="6">
        <v>38.299999999999997</v>
      </c>
      <c r="U93" s="6" t="s">
        <v>104</v>
      </c>
      <c r="V93" s="6" t="s">
        <v>104</v>
      </c>
      <c r="W93" s="6" t="s">
        <v>104</v>
      </c>
      <c r="X93" s="6" t="s">
        <v>104</v>
      </c>
      <c r="Y93" s="6" t="s">
        <v>104</v>
      </c>
      <c r="Z93" s="6">
        <v>39</v>
      </c>
      <c r="AA93" s="6" t="s">
        <v>104</v>
      </c>
      <c r="AB93" s="6" t="s">
        <v>104</v>
      </c>
      <c r="AC93" s="6" t="s">
        <v>104</v>
      </c>
      <c r="AD93" s="6">
        <v>39.299999999999997</v>
      </c>
      <c r="AE93" s="6" t="s">
        <v>104</v>
      </c>
    </row>
    <row r="94" spans="1:31" s="12" customFormat="1" ht="13" x14ac:dyDescent="0.15">
      <c r="A94" s="5">
        <v>93</v>
      </c>
      <c r="B94" s="16" t="s">
        <v>89</v>
      </c>
      <c r="C94" s="20" t="s">
        <v>90</v>
      </c>
      <c r="D94" s="6">
        <v>39.1</v>
      </c>
      <c r="E94" s="6" t="s">
        <v>104</v>
      </c>
      <c r="F94" s="6" t="s">
        <v>104</v>
      </c>
      <c r="G94" s="6" t="s">
        <v>104</v>
      </c>
      <c r="H94" s="6" t="s">
        <v>104</v>
      </c>
      <c r="I94" s="6" t="s">
        <v>104</v>
      </c>
      <c r="J94" s="6" t="s">
        <v>104</v>
      </c>
      <c r="K94" s="6" t="s">
        <v>104</v>
      </c>
      <c r="L94" s="6">
        <v>39.799999999999997</v>
      </c>
      <c r="M94" s="6" t="s">
        <v>104</v>
      </c>
      <c r="N94" s="6" t="s">
        <v>104</v>
      </c>
      <c r="O94" s="6">
        <v>35.4</v>
      </c>
      <c r="P94" s="6" t="s">
        <v>104</v>
      </c>
      <c r="Q94" s="6" t="s">
        <v>104</v>
      </c>
      <c r="R94" s="6">
        <v>40.5</v>
      </c>
      <c r="S94" s="6" t="s">
        <v>104</v>
      </c>
      <c r="T94" s="6">
        <v>38.799999999999997</v>
      </c>
      <c r="U94" s="6" t="s">
        <v>104</v>
      </c>
      <c r="V94" s="6" t="s">
        <v>104</v>
      </c>
      <c r="W94" s="6">
        <v>42</v>
      </c>
      <c r="X94" s="6" t="s">
        <v>104</v>
      </c>
      <c r="Y94" s="6" t="s">
        <v>104</v>
      </c>
      <c r="Z94" s="6" t="s">
        <v>104</v>
      </c>
      <c r="AA94" s="6">
        <v>39.9</v>
      </c>
      <c r="AB94" s="6" t="s">
        <v>104</v>
      </c>
      <c r="AC94" s="6" t="s">
        <v>104</v>
      </c>
      <c r="AD94" s="6">
        <v>38.5</v>
      </c>
      <c r="AE94" s="6" t="s">
        <v>104</v>
      </c>
    </row>
    <row r="95" spans="1:31" s="12" customFormat="1" ht="13" x14ac:dyDescent="0.15">
      <c r="A95" s="5">
        <v>94</v>
      </c>
      <c r="B95" s="16" t="s">
        <v>91</v>
      </c>
      <c r="C95" s="20" t="s">
        <v>92</v>
      </c>
      <c r="D95" s="6">
        <v>34.9</v>
      </c>
      <c r="E95" s="6" t="s">
        <v>104</v>
      </c>
      <c r="F95" s="6" t="s">
        <v>104</v>
      </c>
      <c r="G95" s="6" t="s">
        <v>104</v>
      </c>
      <c r="H95" s="6" t="s">
        <v>104</v>
      </c>
      <c r="I95" s="6" t="s">
        <v>104</v>
      </c>
      <c r="J95" s="6" t="s">
        <v>104</v>
      </c>
      <c r="K95" s="6" t="s">
        <v>104</v>
      </c>
      <c r="L95" s="6" t="s">
        <v>104</v>
      </c>
      <c r="M95" s="6" t="s">
        <v>104</v>
      </c>
      <c r="N95" s="6" t="s">
        <v>104</v>
      </c>
      <c r="O95" s="6">
        <v>42</v>
      </c>
      <c r="P95" s="6" t="s">
        <v>104</v>
      </c>
      <c r="Q95" s="6" t="s">
        <v>104</v>
      </c>
      <c r="R95" s="6" t="s">
        <v>104</v>
      </c>
      <c r="S95" s="6" t="s">
        <v>104</v>
      </c>
      <c r="T95" s="6">
        <v>39.299999999999997</v>
      </c>
      <c r="U95" s="6" t="s">
        <v>104</v>
      </c>
      <c r="V95" s="6" t="s">
        <v>104</v>
      </c>
      <c r="W95" s="6" t="s">
        <v>104</v>
      </c>
      <c r="X95" s="6" t="s">
        <v>104</v>
      </c>
      <c r="Y95" s="6" t="s">
        <v>104</v>
      </c>
      <c r="Z95" s="6" t="s">
        <v>104</v>
      </c>
      <c r="AA95" s="6" t="s">
        <v>104</v>
      </c>
      <c r="AB95" s="6" t="s">
        <v>104</v>
      </c>
      <c r="AC95" s="6" t="s">
        <v>104</v>
      </c>
      <c r="AD95" s="6" t="s">
        <v>104</v>
      </c>
      <c r="AE95" s="6" t="s">
        <v>104</v>
      </c>
    </row>
    <row r="96" spans="1:31" s="12" customFormat="1" ht="13" x14ac:dyDescent="0.15">
      <c r="A96" s="5">
        <v>95</v>
      </c>
      <c r="B96" s="16" t="s">
        <v>93</v>
      </c>
      <c r="C96" s="21">
        <v>45665</v>
      </c>
      <c r="D96" s="6">
        <v>37.4</v>
      </c>
      <c r="E96" s="6" t="s">
        <v>104</v>
      </c>
      <c r="F96" s="6" t="s">
        <v>104</v>
      </c>
      <c r="G96" s="6" t="s">
        <v>104</v>
      </c>
      <c r="H96" s="6" t="s">
        <v>104</v>
      </c>
      <c r="I96" s="6" t="s">
        <v>104</v>
      </c>
      <c r="J96" s="6" t="s">
        <v>104</v>
      </c>
      <c r="K96" s="6">
        <v>40.4</v>
      </c>
      <c r="L96" s="6">
        <v>41</v>
      </c>
      <c r="M96" s="6" t="s">
        <v>104</v>
      </c>
      <c r="N96" s="6">
        <v>40.799999999999997</v>
      </c>
      <c r="O96" s="6">
        <v>41.4</v>
      </c>
      <c r="P96" s="6">
        <v>38.700000000000003</v>
      </c>
      <c r="Q96" s="6" t="s">
        <v>104</v>
      </c>
      <c r="R96" s="6" t="s">
        <v>104</v>
      </c>
      <c r="S96" s="6" t="s">
        <v>104</v>
      </c>
      <c r="T96" s="6">
        <v>40.4</v>
      </c>
      <c r="U96" s="6" t="s">
        <v>104</v>
      </c>
      <c r="V96" s="6">
        <v>42.4</v>
      </c>
      <c r="W96" s="6" t="s">
        <v>104</v>
      </c>
      <c r="X96" s="6" t="s">
        <v>104</v>
      </c>
      <c r="Y96" s="6" t="s">
        <v>104</v>
      </c>
      <c r="Z96" s="6">
        <v>37.700000000000003</v>
      </c>
      <c r="AA96" s="6">
        <v>37.700000000000003</v>
      </c>
      <c r="AB96" s="6" t="s">
        <v>104</v>
      </c>
      <c r="AC96" s="6" t="s">
        <v>104</v>
      </c>
      <c r="AD96" s="6" t="s">
        <v>104</v>
      </c>
      <c r="AE96" s="6" t="s">
        <v>104</v>
      </c>
    </row>
    <row r="97" spans="1:31" s="12" customFormat="1" ht="13" x14ac:dyDescent="0.15">
      <c r="A97" s="5">
        <v>96</v>
      </c>
      <c r="B97" s="16" t="s">
        <v>94</v>
      </c>
      <c r="C97" s="21">
        <v>45669</v>
      </c>
      <c r="D97" s="6">
        <v>40.5</v>
      </c>
      <c r="E97" s="6" t="s">
        <v>104</v>
      </c>
      <c r="F97" s="6" t="s">
        <v>104</v>
      </c>
      <c r="G97" s="6" t="s">
        <v>104</v>
      </c>
      <c r="H97" s="6" t="s">
        <v>104</v>
      </c>
      <c r="I97" s="6" t="s">
        <v>104</v>
      </c>
      <c r="J97" s="6" t="s">
        <v>104</v>
      </c>
      <c r="K97" s="6" t="s">
        <v>104</v>
      </c>
      <c r="L97" s="6" t="s">
        <v>104</v>
      </c>
      <c r="M97" s="6" t="s">
        <v>104</v>
      </c>
      <c r="N97" s="6" t="s">
        <v>104</v>
      </c>
      <c r="O97" s="6" t="s">
        <v>104</v>
      </c>
      <c r="P97" s="6">
        <v>40</v>
      </c>
      <c r="Q97" s="6" t="s">
        <v>104</v>
      </c>
      <c r="R97" s="6" t="s">
        <v>104</v>
      </c>
      <c r="S97" s="6" t="s">
        <v>104</v>
      </c>
      <c r="T97" s="6">
        <v>42.3</v>
      </c>
      <c r="U97" s="6" t="s">
        <v>104</v>
      </c>
      <c r="V97" s="6" t="s">
        <v>104</v>
      </c>
      <c r="W97" s="6" t="s">
        <v>104</v>
      </c>
      <c r="X97" s="6">
        <v>38.299999999999997</v>
      </c>
      <c r="Y97" s="6" t="s">
        <v>104</v>
      </c>
      <c r="Z97" s="6">
        <v>40</v>
      </c>
      <c r="AA97" s="6" t="s">
        <v>104</v>
      </c>
      <c r="AB97" s="6" t="s">
        <v>104</v>
      </c>
      <c r="AC97" s="6" t="s">
        <v>104</v>
      </c>
      <c r="AD97" s="6">
        <v>41.1</v>
      </c>
      <c r="AE97" s="6" t="s">
        <v>104</v>
      </c>
    </row>
    <row r="98" spans="1:31" s="12" customFormat="1" ht="13" x14ac:dyDescent="0.15">
      <c r="A98" s="5">
        <v>97</v>
      </c>
      <c r="B98" s="16" t="s">
        <v>95</v>
      </c>
      <c r="C98" s="20" t="s">
        <v>96</v>
      </c>
      <c r="D98" s="6">
        <v>37.1</v>
      </c>
      <c r="E98" s="6" t="s">
        <v>104</v>
      </c>
      <c r="F98" s="6" t="s">
        <v>104</v>
      </c>
      <c r="G98" s="6" t="s">
        <v>104</v>
      </c>
      <c r="H98" s="6" t="s">
        <v>104</v>
      </c>
      <c r="I98" s="6" t="s">
        <v>104</v>
      </c>
      <c r="J98" s="6" t="s">
        <v>104</v>
      </c>
      <c r="K98" s="6" t="s">
        <v>104</v>
      </c>
      <c r="L98" s="6">
        <v>40.6</v>
      </c>
      <c r="M98" s="6" t="s">
        <v>104</v>
      </c>
      <c r="N98" s="6">
        <v>40.799999999999997</v>
      </c>
      <c r="O98" s="6">
        <v>39.700000000000003</v>
      </c>
      <c r="P98" s="6">
        <v>38</v>
      </c>
      <c r="Q98" s="6">
        <v>40.700000000000003</v>
      </c>
      <c r="R98" s="6" t="s">
        <v>104</v>
      </c>
      <c r="S98" s="6" t="s">
        <v>104</v>
      </c>
      <c r="T98" s="6">
        <v>41.8</v>
      </c>
      <c r="U98" s="6" t="s">
        <v>104</v>
      </c>
      <c r="V98" s="6">
        <v>41.4</v>
      </c>
      <c r="W98" s="6" t="s">
        <v>104</v>
      </c>
      <c r="X98" s="6" t="s">
        <v>104</v>
      </c>
      <c r="Y98" s="6" t="s">
        <v>104</v>
      </c>
      <c r="Z98" s="6">
        <v>40.4</v>
      </c>
      <c r="AA98" s="6" t="s">
        <v>104</v>
      </c>
      <c r="AB98" s="6" t="s">
        <v>104</v>
      </c>
      <c r="AC98" s="6" t="s">
        <v>104</v>
      </c>
      <c r="AD98" s="6">
        <v>40.700000000000003</v>
      </c>
      <c r="AE98" s="6" t="s">
        <v>104</v>
      </c>
    </row>
    <row r="99" spans="1:31" s="12" customFormat="1" ht="13" x14ac:dyDescent="0.15">
      <c r="A99" s="5">
        <v>98</v>
      </c>
      <c r="B99" s="16" t="s">
        <v>97</v>
      </c>
      <c r="C99" s="21">
        <v>45676</v>
      </c>
      <c r="D99" s="6">
        <v>39.6</v>
      </c>
      <c r="E99" s="6" t="s">
        <v>104</v>
      </c>
      <c r="F99" s="6" t="s">
        <v>104</v>
      </c>
      <c r="G99" s="6">
        <v>36.1</v>
      </c>
      <c r="H99" s="6" t="s">
        <v>104</v>
      </c>
      <c r="I99" s="6" t="s">
        <v>104</v>
      </c>
      <c r="J99" s="6" t="s">
        <v>104</v>
      </c>
      <c r="K99" s="6" t="s">
        <v>104</v>
      </c>
      <c r="L99" s="6" t="s">
        <v>104</v>
      </c>
      <c r="M99" s="6" t="s">
        <v>104</v>
      </c>
      <c r="N99" s="6" t="s">
        <v>104</v>
      </c>
      <c r="O99" s="6">
        <v>42</v>
      </c>
      <c r="P99" s="6">
        <v>40.1</v>
      </c>
      <c r="Q99" s="6" t="s">
        <v>104</v>
      </c>
      <c r="R99" s="6" t="s">
        <v>104</v>
      </c>
      <c r="S99" s="6" t="s">
        <v>104</v>
      </c>
      <c r="T99" s="6">
        <v>39</v>
      </c>
      <c r="U99" s="6" t="s">
        <v>104</v>
      </c>
      <c r="V99" s="6" t="s">
        <v>104</v>
      </c>
      <c r="W99" s="6" t="s">
        <v>104</v>
      </c>
      <c r="X99" s="6" t="s">
        <v>104</v>
      </c>
      <c r="Y99" s="6" t="s">
        <v>104</v>
      </c>
      <c r="Z99" s="6">
        <v>37</v>
      </c>
      <c r="AA99" s="6" t="s">
        <v>104</v>
      </c>
      <c r="AB99" s="6" t="s">
        <v>104</v>
      </c>
      <c r="AC99" s="6" t="s">
        <v>104</v>
      </c>
      <c r="AD99" s="6" t="s">
        <v>104</v>
      </c>
      <c r="AE99" s="6" t="s">
        <v>104</v>
      </c>
    </row>
    <row r="100" spans="1:31" s="12" customFormat="1" ht="13" x14ac:dyDescent="0.15">
      <c r="A100" s="5">
        <v>99</v>
      </c>
      <c r="B100" s="16" t="s">
        <v>98</v>
      </c>
      <c r="C100" s="21">
        <v>45679</v>
      </c>
      <c r="D100" s="6">
        <v>40</v>
      </c>
      <c r="E100" s="6" t="s">
        <v>104</v>
      </c>
      <c r="F100" s="8">
        <v>41.6</v>
      </c>
      <c r="G100" s="6" t="s">
        <v>104</v>
      </c>
      <c r="H100" s="6" t="s">
        <v>104</v>
      </c>
      <c r="I100" s="6" t="s">
        <v>104</v>
      </c>
      <c r="J100" s="6" t="s">
        <v>104</v>
      </c>
      <c r="K100" s="6" t="s">
        <v>104</v>
      </c>
      <c r="L100" s="8">
        <v>39.5</v>
      </c>
      <c r="M100" s="6" t="s">
        <v>104</v>
      </c>
      <c r="N100" s="6" t="s">
        <v>104</v>
      </c>
      <c r="O100" s="6">
        <v>40.4</v>
      </c>
      <c r="P100" s="6">
        <v>38.799999999999997</v>
      </c>
      <c r="Q100" s="6" t="s">
        <v>104</v>
      </c>
      <c r="R100" s="6" t="s">
        <v>104</v>
      </c>
      <c r="S100" s="6" t="s">
        <v>104</v>
      </c>
      <c r="T100" s="6">
        <v>41</v>
      </c>
      <c r="U100" s="6" t="s">
        <v>104</v>
      </c>
      <c r="V100" s="6">
        <v>40.9</v>
      </c>
      <c r="W100" s="6" t="s">
        <v>104</v>
      </c>
      <c r="X100" s="6" t="s">
        <v>104</v>
      </c>
      <c r="Y100" s="6" t="s">
        <v>104</v>
      </c>
      <c r="Z100" s="6">
        <v>39.5</v>
      </c>
      <c r="AA100" s="6" t="s">
        <v>104</v>
      </c>
      <c r="AB100" s="6" t="s">
        <v>104</v>
      </c>
      <c r="AC100" s="6" t="s">
        <v>104</v>
      </c>
      <c r="AD100" s="6">
        <v>40.4</v>
      </c>
      <c r="AE100" s="6" t="s">
        <v>104</v>
      </c>
    </row>
    <row r="101" spans="1:31" s="12" customFormat="1" ht="13" x14ac:dyDescent="0.15">
      <c r="A101" s="5">
        <v>100</v>
      </c>
      <c r="B101" s="16" t="s">
        <v>99</v>
      </c>
      <c r="C101" s="20" t="s">
        <v>100</v>
      </c>
      <c r="D101" s="8">
        <v>39.799999999999997</v>
      </c>
      <c r="E101" s="6" t="s">
        <v>104</v>
      </c>
      <c r="F101" s="8">
        <v>39.5</v>
      </c>
      <c r="G101" s="6" t="s">
        <v>104</v>
      </c>
      <c r="H101" s="6" t="s">
        <v>104</v>
      </c>
      <c r="I101" s="6" t="s">
        <v>104</v>
      </c>
      <c r="J101" s="6" t="s">
        <v>104</v>
      </c>
      <c r="K101" s="6" t="s">
        <v>104</v>
      </c>
      <c r="L101" s="8">
        <v>42.1</v>
      </c>
      <c r="M101" s="8">
        <v>40.4</v>
      </c>
      <c r="N101" s="8">
        <v>41.8</v>
      </c>
      <c r="O101" s="6" t="s">
        <v>104</v>
      </c>
      <c r="P101" s="6" t="s">
        <v>104</v>
      </c>
      <c r="Q101" s="6" t="s">
        <v>104</v>
      </c>
      <c r="R101" s="6" t="s">
        <v>104</v>
      </c>
      <c r="S101" s="6" t="s">
        <v>104</v>
      </c>
      <c r="T101" s="8">
        <v>38.5</v>
      </c>
      <c r="U101" s="8">
        <v>41.6</v>
      </c>
      <c r="V101" s="6" t="s">
        <v>104</v>
      </c>
      <c r="W101" s="6" t="s">
        <v>104</v>
      </c>
      <c r="X101" s="6" t="s">
        <v>104</v>
      </c>
      <c r="Y101" s="6" t="s">
        <v>104</v>
      </c>
      <c r="Z101" s="8">
        <v>38.6</v>
      </c>
      <c r="AA101" s="6" t="s">
        <v>104</v>
      </c>
      <c r="AB101" s="8">
        <v>39.700000000000003</v>
      </c>
      <c r="AC101" s="6" t="s">
        <v>104</v>
      </c>
      <c r="AD101" s="8">
        <v>38.6</v>
      </c>
      <c r="AE101" s="6" t="s">
        <v>104</v>
      </c>
    </row>
    <row r="102" spans="1:31" x14ac:dyDescent="0.2">
      <c r="A102" s="5">
        <v>101</v>
      </c>
      <c r="B102" s="23" t="s">
        <v>160</v>
      </c>
      <c r="C102" s="7">
        <v>45686</v>
      </c>
      <c r="D102" s="6">
        <v>38.5</v>
      </c>
      <c r="E102" s="6" t="s">
        <v>104</v>
      </c>
      <c r="F102" s="6" t="s">
        <v>104</v>
      </c>
      <c r="G102" s="6" t="s">
        <v>104</v>
      </c>
      <c r="H102" s="6" t="s">
        <v>104</v>
      </c>
      <c r="I102" s="6" t="s">
        <v>104</v>
      </c>
      <c r="J102" s="6" t="s">
        <v>104</v>
      </c>
      <c r="K102" s="6" t="s">
        <v>104</v>
      </c>
      <c r="L102" s="6" t="s">
        <v>104</v>
      </c>
      <c r="M102" s="6" t="s">
        <v>104</v>
      </c>
      <c r="N102" s="6" t="s">
        <v>104</v>
      </c>
      <c r="O102" s="6" t="s">
        <v>104</v>
      </c>
      <c r="P102" s="6">
        <v>40.5</v>
      </c>
      <c r="Q102" s="6" t="s">
        <v>104</v>
      </c>
      <c r="R102" s="6" t="s">
        <v>104</v>
      </c>
      <c r="S102" s="6" t="s">
        <v>104</v>
      </c>
      <c r="T102" s="6">
        <v>40.5</v>
      </c>
      <c r="U102" s="6" t="s">
        <v>104</v>
      </c>
      <c r="V102" s="6">
        <v>41.1</v>
      </c>
      <c r="W102" s="6" t="s">
        <v>104</v>
      </c>
      <c r="X102" s="6">
        <v>41.9</v>
      </c>
      <c r="Y102" s="6" t="s">
        <v>104</v>
      </c>
      <c r="Z102" s="6">
        <v>38.9</v>
      </c>
      <c r="AA102" s="6">
        <v>40.9</v>
      </c>
      <c r="AB102" s="6" t="s">
        <v>104</v>
      </c>
      <c r="AC102" s="6" t="s">
        <v>104</v>
      </c>
      <c r="AD102" s="6">
        <v>37.4</v>
      </c>
      <c r="AE102" s="6" t="s">
        <v>104</v>
      </c>
    </row>
    <row r="103" spans="1:31" ht="24.5" customHeight="1" x14ac:dyDescent="0.2"/>
    <row r="104" spans="1:31" x14ac:dyDescent="0.2">
      <c r="A104" s="1"/>
      <c r="B104" s="27"/>
      <c r="D104" s="27"/>
      <c r="F104" s="27"/>
      <c r="G104" s="27"/>
      <c r="H104" s="27"/>
      <c r="I104" s="27"/>
      <c r="J104" s="27"/>
      <c r="K104" s="27"/>
      <c r="L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</row>
    <row r="105" spans="1:31" x14ac:dyDescent="0.2">
      <c r="A105" s="1"/>
      <c r="B105" s="27"/>
      <c r="D105" s="27"/>
      <c r="F105" s="27"/>
      <c r="G105" s="27"/>
      <c r="H105" s="27"/>
      <c r="I105" s="27"/>
      <c r="J105" s="27"/>
      <c r="K105" s="27"/>
      <c r="L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</row>
  </sheetData>
  <conditionalFormatting sqref="D67:D75 D77:D83 D85:D91">
    <cfRule type="cellIs" dxfId="74" priority="376" operator="notEqual">
      <formula>"NA"</formula>
    </cfRule>
  </conditionalFormatting>
  <conditionalFormatting sqref="D102">
    <cfRule type="cellIs" dxfId="73" priority="34" operator="notEqual">
      <formula>"NA"</formula>
    </cfRule>
  </conditionalFormatting>
  <conditionalFormatting sqref="D2:E65">
    <cfRule type="cellIs" dxfId="72" priority="356" operator="notEqual">
      <formula>"NA"</formula>
    </cfRule>
  </conditionalFormatting>
  <conditionalFormatting sqref="E67:E92">
    <cfRule type="cellIs" dxfId="71" priority="359" operator="notEqual">
      <formula>"NA"</formula>
    </cfRule>
  </conditionalFormatting>
  <conditionalFormatting sqref="E101:E102">
    <cfRule type="cellIs" dxfId="70" priority="32" operator="notEqual">
      <formula>"NA"</formula>
    </cfRule>
  </conditionalFormatting>
  <conditionalFormatting sqref="F2:F92">
    <cfRule type="cellIs" dxfId="69" priority="326" operator="notEqual">
      <formula>"NA"</formula>
    </cfRule>
  </conditionalFormatting>
  <conditionalFormatting sqref="F102">
    <cfRule type="cellIs" dxfId="68" priority="28" operator="notEqual">
      <formula>"NA"</formula>
    </cfRule>
  </conditionalFormatting>
  <conditionalFormatting sqref="G2:G75">
    <cfRule type="cellIs" dxfId="67" priority="341" operator="notEqual">
      <formula>"NA"</formula>
    </cfRule>
  </conditionalFormatting>
  <conditionalFormatting sqref="G77:G92">
    <cfRule type="cellIs" dxfId="66" priority="344" operator="notEqual">
      <formula>"NA"</formula>
    </cfRule>
  </conditionalFormatting>
  <conditionalFormatting sqref="G101:K102">
    <cfRule type="cellIs" dxfId="65" priority="12" operator="notEqual">
      <formula>"NA"</formula>
    </cfRule>
  </conditionalFormatting>
  <conditionalFormatting sqref="H2:J92">
    <cfRule type="cellIs" dxfId="64" priority="150" operator="notEqual">
      <formula>"NA"</formula>
    </cfRule>
  </conditionalFormatting>
  <conditionalFormatting sqref="K2:K83">
    <cfRule type="cellIs" dxfId="63" priority="182" operator="notEqual">
      <formula>"NA"</formula>
    </cfRule>
  </conditionalFormatting>
  <conditionalFormatting sqref="K85:K92">
    <cfRule type="cellIs" dxfId="62" priority="185" operator="notEqual">
      <formula>"NA"</formula>
    </cfRule>
  </conditionalFormatting>
  <conditionalFormatting sqref="L34">
    <cfRule type="cellIs" dxfId="61" priority="208" operator="notEqual">
      <formula>"NA"</formula>
    </cfRule>
  </conditionalFormatting>
  <conditionalFormatting sqref="L66">
    <cfRule type="cellIs" dxfId="60" priority="203" operator="notEqual">
      <formula>"NA"</formula>
    </cfRule>
  </conditionalFormatting>
  <conditionalFormatting sqref="L41:N41">
    <cfRule type="cellIs" dxfId="59" priority="42" operator="notEqual">
      <formula>"NA"</formula>
    </cfRule>
  </conditionalFormatting>
  <conditionalFormatting sqref="L102:N102">
    <cfRule type="cellIs" dxfId="58" priority="1" operator="notEqual">
      <formula>"NA"</formula>
    </cfRule>
  </conditionalFormatting>
  <conditionalFormatting sqref="L2:P101 AA2:AE101 D58:K101">
    <cfRule type="cellIs" dxfId="57" priority="392" operator="notEqual">
      <formula>"NA"</formula>
    </cfRule>
  </conditionalFormatting>
  <conditionalFormatting sqref="M26">
    <cfRule type="cellIs" dxfId="56" priority="43" operator="notEqual">
      <formula>"NA"</formula>
    </cfRule>
  </conditionalFormatting>
  <conditionalFormatting sqref="M49">
    <cfRule type="cellIs" dxfId="55" priority="41" operator="notEqual">
      <formula>"NA"</formula>
    </cfRule>
  </conditionalFormatting>
  <conditionalFormatting sqref="M76">
    <cfRule type="cellIs" dxfId="54" priority="40" operator="notEqual">
      <formula>"NA"</formula>
    </cfRule>
  </conditionalFormatting>
  <conditionalFormatting sqref="M84">
    <cfRule type="cellIs" dxfId="53" priority="39" operator="notEqual">
      <formula>"NA"</formula>
    </cfRule>
  </conditionalFormatting>
  <conditionalFormatting sqref="M92">
    <cfRule type="cellIs" dxfId="52" priority="38" operator="notEqual">
      <formula>"NA"</formula>
    </cfRule>
  </conditionalFormatting>
  <conditionalFormatting sqref="N66">
    <cfRule type="cellIs" dxfId="51" priority="63" operator="notEqual">
      <formula>"NA"</formula>
    </cfRule>
  </conditionalFormatting>
  <conditionalFormatting sqref="O52">
    <cfRule type="cellIs" dxfId="50" priority="59" operator="notEqual">
      <formula>"NA"</formula>
    </cfRule>
  </conditionalFormatting>
  <conditionalFormatting sqref="O54">
    <cfRule type="cellIs" dxfId="49" priority="58" operator="notEqual">
      <formula>"NA"</formula>
    </cfRule>
  </conditionalFormatting>
  <conditionalFormatting sqref="O26:P26">
    <cfRule type="cellIs" dxfId="48" priority="53" operator="notEqual">
      <formula>"NA"</formula>
    </cfRule>
  </conditionalFormatting>
  <conditionalFormatting sqref="O34:P34">
    <cfRule type="cellIs" dxfId="47" priority="52" operator="notEqual">
      <formula>"NA"</formula>
    </cfRule>
  </conditionalFormatting>
  <conditionalFormatting sqref="O92:P92">
    <cfRule type="cellIs" dxfId="46" priority="46" operator="notEqual">
      <formula>"NA"</formula>
    </cfRule>
  </conditionalFormatting>
  <conditionalFormatting sqref="O101:P102">
    <cfRule type="cellIs" dxfId="45" priority="2" operator="notEqual">
      <formula>"NA"</formula>
    </cfRule>
  </conditionalFormatting>
  <conditionalFormatting sqref="P11">
    <cfRule type="cellIs" dxfId="44" priority="54" operator="notEqual">
      <formula>"NA"</formula>
    </cfRule>
  </conditionalFormatting>
  <conditionalFormatting sqref="P41">
    <cfRule type="cellIs" dxfId="43" priority="51" operator="notEqual">
      <formula>"NA"</formula>
    </cfRule>
  </conditionalFormatting>
  <conditionalFormatting sqref="P49">
    <cfRule type="cellIs" dxfId="42" priority="50" operator="notEqual">
      <formula>"NA"</formula>
    </cfRule>
  </conditionalFormatting>
  <conditionalFormatting sqref="P66">
    <cfRule type="cellIs" dxfId="41" priority="49" operator="notEqual">
      <formula>"NA"</formula>
    </cfRule>
  </conditionalFormatting>
  <conditionalFormatting sqref="P76">
    <cfRule type="cellIs" dxfId="40" priority="48" operator="notEqual">
      <formula>"NA"</formula>
    </cfRule>
  </conditionalFormatting>
  <conditionalFormatting sqref="P84">
    <cfRule type="cellIs" dxfId="39" priority="47" operator="notEqual">
      <formula>"NA"</formula>
    </cfRule>
  </conditionalFormatting>
  <conditionalFormatting sqref="Q2:U102">
    <cfRule type="cellIs" dxfId="38" priority="8" operator="notEqual">
      <formula>"NA"</formula>
    </cfRule>
  </conditionalFormatting>
  <conditionalFormatting sqref="U11">
    <cfRule type="cellIs" dxfId="37" priority="119" operator="notEqual">
      <formula>"NA"</formula>
    </cfRule>
  </conditionalFormatting>
  <conditionalFormatting sqref="U16">
    <cfRule type="cellIs" dxfId="36" priority="118" operator="notEqual">
      <formula>"NA"</formula>
    </cfRule>
  </conditionalFormatting>
  <conditionalFormatting sqref="U26">
    <cfRule type="cellIs" dxfId="35" priority="117" operator="notEqual">
      <formula>"NA"</formula>
    </cfRule>
  </conditionalFormatting>
  <conditionalFormatting sqref="U34">
    <cfRule type="cellIs" dxfId="34" priority="116" operator="notEqual">
      <formula>"NA"</formula>
    </cfRule>
  </conditionalFormatting>
  <conditionalFormatting sqref="U41">
    <cfRule type="cellIs" dxfId="33" priority="115" operator="notEqual">
      <formula>"NA"</formula>
    </cfRule>
  </conditionalFormatting>
  <conditionalFormatting sqref="U49">
    <cfRule type="cellIs" dxfId="32" priority="114" operator="notEqual">
      <formula>"NA"</formula>
    </cfRule>
  </conditionalFormatting>
  <conditionalFormatting sqref="U52">
    <cfRule type="cellIs" dxfId="31" priority="113" operator="notEqual">
      <formula>"NA"</formula>
    </cfRule>
  </conditionalFormatting>
  <conditionalFormatting sqref="U54">
    <cfRule type="cellIs" dxfId="30" priority="112" operator="notEqual">
      <formula>"NA"</formula>
    </cfRule>
  </conditionalFormatting>
  <conditionalFormatting sqref="U66">
    <cfRule type="cellIs" dxfId="29" priority="111" operator="notEqual">
      <formula>"NA"</formula>
    </cfRule>
  </conditionalFormatting>
  <conditionalFormatting sqref="U76">
    <cfRule type="cellIs" dxfId="28" priority="110" operator="notEqual">
      <formula>"NA"</formula>
    </cfRule>
  </conditionalFormatting>
  <conditionalFormatting sqref="U84">
    <cfRule type="cellIs" dxfId="27" priority="109" operator="notEqual">
      <formula>"NA"</formula>
    </cfRule>
  </conditionalFormatting>
  <conditionalFormatting sqref="V2:V65">
    <cfRule type="cellIs" dxfId="26" priority="267" operator="notEqual">
      <formula>"NA"</formula>
    </cfRule>
  </conditionalFormatting>
  <conditionalFormatting sqref="V67:V92">
    <cfRule type="cellIs" dxfId="25" priority="270" operator="notEqual">
      <formula>"NA"</formula>
    </cfRule>
  </conditionalFormatting>
  <conditionalFormatting sqref="V58:X102">
    <cfRule type="cellIs" dxfId="24" priority="22" operator="notEqual">
      <formula>"NA"</formula>
    </cfRule>
  </conditionalFormatting>
  <conditionalFormatting sqref="W2:W92">
    <cfRule type="cellIs" dxfId="23" priority="279" operator="notEqual">
      <formula>"NA"</formula>
    </cfRule>
  </conditionalFormatting>
  <conditionalFormatting sqref="X2:X57">
    <cfRule type="cellIs" dxfId="22" priority="377" operator="notEqual">
      <formula>"NA"</formula>
    </cfRule>
  </conditionalFormatting>
  <conditionalFormatting sqref="X66">
    <cfRule type="cellIs" dxfId="21" priority="383" operator="notEqual">
      <formula>"NA"</formula>
    </cfRule>
  </conditionalFormatting>
  <conditionalFormatting sqref="X84">
    <cfRule type="cellIs" dxfId="20" priority="381" operator="notEqual">
      <formula>"NA"</formula>
    </cfRule>
  </conditionalFormatting>
  <conditionalFormatting sqref="X92">
    <cfRule type="cellIs" dxfId="19" priority="380" operator="notEqual">
      <formula>"NA"</formula>
    </cfRule>
  </conditionalFormatting>
  <conditionalFormatting sqref="Y2:Z102">
    <cfRule type="cellIs" dxfId="18" priority="7" operator="notEqual">
      <formula>"NA"</formula>
    </cfRule>
  </conditionalFormatting>
  <conditionalFormatting sqref="AA101">
    <cfRule type="cellIs" dxfId="17" priority="379" operator="notEqual">
      <formula>"NA"</formula>
    </cfRule>
  </conditionalFormatting>
  <conditionalFormatting sqref="AA102:AB102 AD102">
    <cfRule type="cellIs" dxfId="16" priority="37" operator="notEqual">
      <formula>"NA"</formula>
    </cfRule>
  </conditionalFormatting>
  <conditionalFormatting sqref="AC92">
    <cfRule type="cellIs" dxfId="15" priority="96" operator="notEqual">
      <formula>"NA"</formula>
    </cfRule>
  </conditionalFormatting>
  <conditionalFormatting sqref="AC101:AC102">
    <cfRule type="cellIs" dxfId="14" priority="6" operator="notEqual">
      <formula>"NA"</formula>
    </cfRule>
  </conditionalFormatting>
  <conditionalFormatting sqref="AE11">
    <cfRule type="cellIs" dxfId="13" priority="93" operator="notEqual">
      <formula>"NA"</formula>
    </cfRule>
  </conditionalFormatting>
  <conditionalFormatting sqref="AE16">
    <cfRule type="cellIs" dxfId="12" priority="92" operator="notEqual">
      <formula>"NA"</formula>
    </cfRule>
  </conditionalFormatting>
  <conditionalFormatting sqref="AE26">
    <cfRule type="cellIs" dxfId="11" priority="91" operator="notEqual">
      <formula>"NA"</formula>
    </cfRule>
  </conditionalFormatting>
  <conditionalFormatting sqref="AE34">
    <cfRule type="cellIs" dxfId="10" priority="90" operator="notEqual">
      <formula>"NA"</formula>
    </cfRule>
  </conditionalFormatting>
  <conditionalFormatting sqref="AE41">
    <cfRule type="cellIs" dxfId="9" priority="89" operator="notEqual">
      <formula>"NA"</formula>
    </cfRule>
  </conditionalFormatting>
  <conditionalFormatting sqref="AE49">
    <cfRule type="cellIs" dxfId="8" priority="88" operator="notEqual">
      <formula>"NA"</formula>
    </cfRule>
  </conditionalFormatting>
  <conditionalFormatting sqref="AE66">
    <cfRule type="cellIs" dxfId="7" priority="87" operator="notEqual">
      <formula>"NA"</formula>
    </cfRule>
  </conditionalFormatting>
  <conditionalFormatting sqref="AE76">
    <cfRule type="cellIs" dxfId="6" priority="86" operator="notEqual">
      <formula>"NA"</formula>
    </cfRule>
  </conditionalFormatting>
  <conditionalFormatting sqref="AE84">
    <cfRule type="cellIs" dxfId="5" priority="85" operator="notEqual">
      <formula>"NA"</formula>
    </cfRule>
  </conditionalFormatting>
  <conditionalFormatting sqref="AE101:AE102">
    <cfRule type="cellIs" dxfId="4" priority="5" operator="notEqual">
      <formula>"NA"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05"/>
  <sheetViews>
    <sheetView workbookViewId="0">
      <selection activeCell="F99" sqref="F99"/>
    </sheetView>
  </sheetViews>
  <sheetFormatPr baseColWidth="10" defaultRowHeight="12" x14ac:dyDescent="0.15"/>
  <cols>
    <col min="1" max="1" width="9" style="2" customWidth="1"/>
    <col min="2" max="2" width="18.6640625" style="2" customWidth="1"/>
    <col min="3" max="3" width="11.33203125" style="32" customWidth="1"/>
    <col min="4" max="16384" width="10.83203125" style="2"/>
  </cols>
  <sheetData>
    <row r="1" spans="1:31" ht="13" x14ac:dyDescent="0.15">
      <c r="A1" s="3" t="s">
        <v>102</v>
      </c>
      <c r="B1" s="3" t="s">
        <v>103</v>
      </c>
      <c r="C1" s="4" t="s">
        <v>1</v>
      </c>
      <c r="D1" s="3" t="s">
        <v>105</v>
      </c>
      <c r="E1" s="3" t="s">
        <v>106</v>
      </c>
      <c r="F1" s="3" t="s">
        <v>107</v>
      </c>
      <c r="G1" s="3" t="s">
        <v>108</v>
      </c>
      <c r="H1" s="3" t="s">
        <v>109</v>
      </c>
      <c r="I1" s="3" t="s">
        <v>110</v>
      </c>
      <c r="J1" s="3" t="s">
        <v>111</v>
      </c>
      <c r="K1" s="3" t="s">
        <v>112</v>
      </c>
      <c r="L1" s="3" t="s">
        <v>113</v>
      </c>
      <c r="M1" s="3" t="s">
        <v>114</v>
      </c>
      <c r="N1" s="3" t="s">
        <v>115</v>
      </c>
      <c r="O1" s="3" t="s">
        <v>116</v>
      </c>
      <c r="P1" s="3" t="s">
        <v>117</v>
      </c>
      <c r="Q1" s="3" t="s">
        <v>118</v>
      </c>
      <c r="R1" s="3" t="s">
        <v>119</v>
      </c>
      <c r="S1" s="3" t="s">
        <v>120</v>
      </c>
      <c r="T1" s="3" t="s">
        <v>121</v>
      </c>
      <c r="U1" s="3" t="s">
        <v>122</v>
      </c>
      <c r="V1" s="3" t="s">
        <v>123</v>
      </c>
      <c r="W1" s="3" t="s">
        <v>124</v>
      </c>
      <c r="X1" s="3" t="s">
        <v>125</v>
      </c>
      <c r="Y1" s="3" t="s">
        <v>126</v>
      </c>
      <c r="Z1" s="3" t="s">
        <v>127</v>
      </c>
      <c r="AA1" s="3" t="s">
        <v>128</v>
      </c>
      <c r="AB1" s="3" t="s">
        <v>129</v>
      </c>
      <c r="AC1" s="3" t="s">
        <v>130</v>
      </c>
      <c r="AD1" s="3" t="s">
        <v>131</v>
      </c>
      <c r="AE1" s="3" t="s">
        <v>132</v>
      </c>
    </row>
    <row r="2" spans="1:31" x14ac:dyDescent="0.15">
      <c r="A2" s="29">
        <v>1</v>
      </c>
      <c r="B2" s="34" t="s">
        <v>143</v>
      </c>
      <c r="C2" s="35">
        <v>45315</v>
      </c>
      <c r="D2" s="28">
        <v>38.9</v>
      </c>
      <c r="E2" s="28" t="s">
        <v>104</v>
      </c>
      <c r="F2" s="28">
        <v>40.9</v>
      </c>
      <c r="G2" s="28" t="s">
        <v>104</v>
      </c>
      <c r="H2" s="28" t="s">
        <v>104</v>
      </c>
      <c r="I2" s="28" t="s">
        <v>104</v>
      </c>
      <c r="J2" s="28" t="s">
        <v>104</v>
      </c>
      <c r="K2" s="28" t="s">
        <v>104</v>
      </c>
      <c r="L2" s="28" t="s">
        <v>104</v>
      </c>
      <c r="M2" s="28" t="s">
        <v>104</v>
      </c>
      <c r="N2" s="28">
        <v>40.4</v>
      </c>
      <c r="O2" s="28" t="s">
        <v>104</v>
      </c>
      <c r="P2" s="28" t="s">
        <v>104</v>
      </c>
      <c r="Q2" s="28">
        <v>41.1</v>
      </c>
      <c r="R2" s="28" t="s">
        <v>104</v>
      </c>
      <c r="S2" s="28" t="s">
        <v>104</v>
      </c>
      <c r="T2" s="28">
        <v>38.6</v>
      </c>
      <c r="U2" s="28" t="s">
        <v>104</v>
      </c>
      <c r="V2" s="28" t="s">
        <v>104</v>
      </c>
      <c r="W2" s="28" t="s">
        <v>104</v>
      </c>
      <c r="X2" s="28" t="s">
        <v>104</v>
      </c>
      <c r="Y2" s="28" t="s">
        <v>104</v>
      </c>
      <c r="Z2" s="28">
        <v>40.4</v>
      </c>
      <c r="AA2" s="28" t="s">
        <v>104</v>
      </c>
      <c r="AB2" s="28" t="s">
        <v>104</v>
      </c>
      <c r="AC2" s="28" t="s">
        <v>104</v>
      </c>
      <c r="AD2" s="28">
        <v>39</v>
      </c>
      <c r="AE2" s="28" t="s">
        <v>104</v>
      </c>
    </row>
    <row r="3" spans="1:31" x14ac:dyDescent="0.15">
      <c r="A3" s="29">
        <v>2</v>
      </c>
      <c r="B3" s="34" t="s">
        <v>142</v>
      </c>
      <c r="C3" s="35">
        <v>45319</v>
      </c>
      <c r="D3" s="28">
        <v>36.700000000000003</v>
      </c>
      <c r="E3" s="28" t="s">
        <v>104</v>
      </c>
      <c r="F3" s="28" t="s">
        <v>104</v>
      </c>
      <c r="G3" s="28" t="s">
        <v>104</v>
      </c>
      <c r="H3" s="28" t="s">
        <v>104</v>
      </c>
      <c r="I3" s="28" t="s">
        <v>104</v>
      </c>
      <c r="J3" s="28" t="s">
        <v>104</v>
      </c>
      <c r="K3" s="28" t="s">
        <v>104</v>
      </c>
      <c r="L3" s="28">
        <v>39.299999999999997</v>
      </c>
      <c r="M3" s="28" t="s">
        <v>104</v>
      </c>
      <c r="N3" s="28" t="s">
        <v>104</v>
      </c>
      <c r="O3" s="28" t="s">
        <v>104</v>
      </c>
      <c r="P3" s="28" t="s">
        <v>104</v>
      </c>
      <c r="Q3" s="28" t="s">
        <v>104</v>
      </c>
      <c r="R3" s="28" t="s">
        <v>104</v>
      </c>
      <c r="S3" s="28" t="s">
        <v>104</v>
      </c>
      <c r="T3" s="28">
        <v>39.200000000000003</v>
      </c>
      <c r="U3" s="28" t="s">
        <v>104</v>
      </c>
      <c r="V3" s="28" t="s">
        <v>104</v>
      </c>
      <c r="W3" s="28" t="s">
        <v>104</v>
      </c>
      <c r="X3" s="28" t="s">
        <v>104</v>
      </c>
      <c r="Y3" s="28" t="s">
        <v>104</v>
      </c>
      <c r="Z3" s="28">
        <v>42</v>
      </c>
      <c r="AA3" s="28" t="s">
        <v>104</v>
      </c>
      <c r="AB3" s="28" t="s">
        <v>104</v>
      </c>
      <c r="AC3" s="28" t="s">
        <v>104</v>
      </c>
      <c r="AD3" s="28" t="s">
        <v>104</v>
      </c>
      <c r="AE3" s="28" t="s">
        <v>104</v>
      </c>
    </row>
    <row r="4" spans="1:31" x14ac:dyDescent="0.15">
      <c r="A4" s="29">
        <v>3</v>
      </c>
      <c r="B4" s="31" t="s">
        <v>141</v>
      </c>
      <c r="C4" s="35">
        <v>45322</v>
      </c>
      <c r="D4" s="28">
        <v>35.299999999999997</v>
      </c>
      <c r="E4" s="28" t="s">
        <v>104</v>
      </c>
      <c r="F4" s="28" t="s">
        <v>104</v>
      </c>
      <c r="G4" s="28" t="s">
        <v>104</v>
      </c>
      <c r="H4" s="28" t="s">
        <v>104</v>
      </c>
      <c r="I4" s="28" t="s">
        <v>104</v>
      </c>
      <c r="J4" s="28" t="s">
        <v>104</v>
      </c>
      <c r="K4" s="28" t="s">
        <v>104</v>
      </c>
      <c r="L4" s="28">
        <v>39.200000000000003</v>
      </c>
      <c r="M4" s="28" t="s">
        <v>104</v>
      </c>
      <c r="N4" s="28" t="s">
        <v>104</v>
      </c>
      <c r="O4" s="28">
        <v>41.2</v>
      </c>
      <c r="P4" s="28">
        <v>40.9</v>
      </c>
      <c r="Q4" s="28" t="s">
        <v>104</v>
      </c>
      <c r="R4" s="28" t="s">
        <v>104</v>
      </c>
      <c r="S4" s="28" t="s">
        <v>104</v>
      </c>
      <c r="T4" s="28">
        <v>37</v>
      </c>
      <c r="U4" s="28" t="s">
        <v>104</v>
      </c>
      <c r="V4" s="28" t="s">
        <v>104</v>
      </c>
      <c r="W4" s="28" t="s">
        <v>104</v>
      </c>
      <c r="X4" s="28" t="s">
        <v>104</v>
      </c>
      <c r="Y4" s="28" t="s">
        <v>104</v>
      </c>
      <c r="Z4" s="28">
        <v>37.4</v>
      </c>
      <c r="AA4" s="28">
        <v>39.4</v>
      </c>
      <c r="AB4" s="28" t="s">
        <v>104</v>
      </c>
      <c r="AC4" s="28" t="s">
        <v>104</v>
      </c>
      <c r="AD4" s="28">
        <v>35.799999999999997</v>
      </c>
      <c r="AE4" s="28" t="s">
        <v>104</v>
      </c>
    </row>
    <row r="5" spans="1:31" x14ac:dyDescent="0.15">
      <c r="A5" s="29">
        <v>4</v>
      </c>
      <c r="B5" s="34" t="s">
        <v>140</v>
      </c>
      <c r="C5" s="35">
        <v>45326</v>
      </c>
      <c r="D5" s="28" t="s">
        <v>104</v>
      </c>
      <c r="E5" s="28" t="s">
        <v>104</v>
      </c>
      <c r="F5" s="28" t="s">
        <v>104</v>
      </c>
      <c r="G5" s="28" t="s">
        <v>104</v>
      </c>
      <c r="H5" s="28" t="s">
        <v>104</v>
      </c>
      <c r="I5" s="28" t="s">
        <v>104</v>
      </c>
      <c r="J5" s="28" t="s">
        <v>104</v>
      </c>
      <c r="K5" s="28" t="s">
        <v>104</v>
      </c>
      <c r="L5" s="28">
        <v>40.6</v>
      </c>
      <c r="M5" s="28" t="s">
        <v>104</v>
      </c>
      <c r="N5" s="28" t="s">
        <v>104</v>
      </c>
      <c r="O5" s="28" t="s">
        <v>104</v>
      </c>
      <c r="P5" s="28" t="s">
        <v>104</v>
      </c>
      <c r="Q5" s="28" t="s">
        <v>104</v>
      </c>
      <c r="R5" s="28" t="s">
        <v>104</v>
      </c>
      <c r="S5" s="28" t="s">
        <v>104</v>
      </c>
      <c r="T5" s="28">
        <v>41.3</v>
      </c>
      <c r="U5" s="28" t="s">
        <v>104</v>
      </c>
      <c r="V5" s="28" t="s">
        <v>104</v>
      </c>
      <c r="W5" s="28" t="s">
        <v>104</v>
      </c>
      <c r="X5" s="28" t="s">
        <v>104</v>
      </c>
      <c r="Y5" s="28" t="s">
        <v>104</v>
      </c>
      <c r="Z5" s="28">
        <v>40</v>
      </c>
      <c r="AA5" s="28" t="s">
        <v>104</v>
      </c>
      <c r="AB5" s="28" t="s">
        <v>104</v>
      </c>
      <c r="AC5" s="28" t="s">
        <v>104</v>
      </c>
      <c r="AD5" s="28" t="s">
        <v>104</v>
      </c>
      <c r="AE5" s="28" t="s">
        <v>104</v>
      </c>
    </row>
    <row r="6" spans="1:31" x14ac:dyDescent="0.15">
      <c r="A6" s="29">
        <v>5</v>
      </c>
      <c r="B6" s="34" t="s">
        <v>139</v>
      </c>
      <c r="C6" s="35">
        <v>45329</v>
      </c>
      <c r="D6" s="28">
        <v>40</v>
      </c>
      <c r="E6" s="28" t="s">
        <v>104</v>
      </c>
      <c r="F6" s="28" t="s">
        <v>104</v>
      </c>
      <c r="G6" s="28" t="s">
        <v>104</v>
      </c>
      <c r="H6" s="28" t="s">
        <v>104</v>
      </c>
      <c r="I6" s="28" t="s">
        <v>104</v>
      </c>
      <c r="J6" s="28" t="s">
        <v>104</v>
      </c>
      <c r="K6" s="28" t="s">
        <v>104</v>
      </c>
      <c r="L6" s="28" t="s">
        <v>104</v>
      </c>
      <c r="M6" s="28" t="s">
        <v>104</v>
      </c>
      <c r="N6" s="28" t="s">
        <v>104</v>
      </c>
      <c r="O6" s="28" t="s">
        <v>104</v>
      </c>
      <c r="P6" s="28" t="s">
        <v>104</v>
      </c>
      <c r="Q6" s="28" t="s">
        <v>104</v>
      </c>
      <c r="R6" s="28" t="s">
        <v>104</v>
      </c>
      <c r="S6" s="28" t="s">
        <v>104</v>
      </c>
      <c r="T6" s="28">
        <v>41.5</v>
      </c>
      <c r="U6" s="28" t="s">
        <v>104</v>
      </c>
      <c r="V6" s="28" t="s">
        <v>104</v>
      </c>
      <c r="W6" s="28" t="s">
        <v>104</v>
      </c>
      <c r="X6" s="28" t="s">
        <v>104</v>
      </c>
      <c r="Y6" s="28" t="s">
        <v>104</v>
      </c>
      <c r="Z6" s="28" t="s">
        <v>104</v>
      </c>
      <c r="AA6" s="28" t="s">
        <v>104</v>
      </c>
      <c r="AB6" s="28" t="s">
        <v>104</v>
      </c>
      <c r="AC6" s="28" t="s">
        <v>104</v>
      </c>
      <c r="AD6" s="28" t="s">
        <v>104</v>
      </c>
      <c r="AE6" s="28" t="s">
        <v>104</v>
      </c>
    </row>
    <row r="7" spans="1:31" x14ac:dyDescent="0.15">
      <c r="A7" s="29">
        <v>6</v>
      </c>
      <c r="B7" s="34" t="s">
        <v>138</v>
      </c>
      <c r="C7" s="35">
        <v>45333</v>
      </c>
      <c r="D7" s="28" t="s">
        <v>104</v>
      </c>
      <c r="E7" s="28" t="s">
        <v>104</v>
      </c>
      <c r="F7" s="28" t="s">
        <v>104</v>
      </c>
      <c r="G7" s="28" t="s">
        <v>104</v>
      </c>
      <c r="H7" s="28" t="s">
        <v>104</v>
      </c>
      <c r="I7" s="28" t="s">
        <v>104</v>
      </c>
      <c r="J7" s="28" t="s">
        <v>104</v>
      </c>
      <c r="K7" s="28" t="s">
        <v>104</v>
      </c>
      <c r="L7" s="28" t="s">
        <v>104</v>
      </c>
      <c r="M7" s="28" t="s">
        <v>104</v>
      </c>
      <c r="N7" s="28" t="s">
        <v>104</v>
      </c>
      <c r="O7" s="28" t="s">
        <v>104</v>
      </c>
      <c r="P7" s="28" t="s">
        <v>104</v>
      </c>
      <c r="Q7" s="28" t="s">
        <v>104</v>
      </c>
      <c r="R7" s="28" t="s">
        <v>104</v>
      </c>
      <c r="S7" s="28" t="s">
        <v>104</v>
      </c>
      <c r="T7" s="28">
        <v>39.4</v>
      </c>
      <c r="U7" s="28" t="s">
        <v>104</v>
      </c>
      <c r="V7" s="28" t="s">
        <v>104</v>
      </c>
      <c r="W7" s="28" t="s">
        <v>104</v>
      </c>
      <c r="X7" s="28">
        <v>38.799999999999997</v>
      </c>
      <c r="Y7" s="28" t="s">
        <v>104</v>
      </c>
      <c r="Z7" s="28" t="s">
        <v>104</v>
      </c>
      <c r="AA7" s="28">
        <v>39</v>
      </c>
      <c r="AB7" s="28" t="s">
        <v>104</v>
      </c>
      <c r="AC7" s="28" t="s">
        <v>104</v>
      </c>
      <c r="AD7" s="28" t="s">
        <v>104</v>
      </c>
      <c r="AE7" s="28" t="s">
        <v>104</v>
      </c>
    </row>
    <row r="8" spans="1:31" x14ac:dyDescent="0.15">
      <c r="A8" s="29">
        <v>7</v>
      </c>
      <c r="B8" s="34" t="s">
        <v>137</v>
      </c>
      <c r="C8" s="35">
        <v>45340</v>
      </c>
      <c r="D8" s="28">
        <v>37.799999999999997</v>
      </c>
      <c r="E8" s="28" t="s">
        <v>104</v>
      </c>
      <c r="F8" s="28" t="s">
        <v>104</v>
      </c>
      <c r="G8" s="28" t="s">
        <v>104</v>
      </c>
      <c r="H8" s="28" t="s">
        <v>104</v>
      </c>
      <c r="I8" s="28" t="s">
        <v>104</v>
      </c>
      <c r="J8" s="28" t="s">
        <v>104</v>
      </c>
      <c r="K8" s="28" t="s">
        <v>104</v>
      </c>
      <c r="L8" s="28">
        <v>41.2</v>
      </c>
      <c r="M8" s="28" t="s">
        <v>104</v>
      </c>
      <c r="N8" s="28">
        <v>39.4</v>
      </c>
      <c r="O8" s="28">
        <v>39.6</v>
      </c>
      <c r="P8" s="28" t="s">
        <v>104</v>
      </c>
      <c r="Q8" s="28" t="s">
        <v>104</v>
      </c>
      <c r="R8" s="28" t="s">
        <v>104</v>
      </c>
      <c r="S8" s="28" t="s">
        <v>104</v>
      </c>
      <c r="T8" s="28" t="s">
        <v>104</v>
      </c>
      <c r="U8" s="28" t="s">
        <v>104</v>
      </c>
      <c r="V8" s="28" t="s">
        <v>104</v>
      </c>
      <c r="W8" s="28" t="s">
        <v>104</v>
      </c>
      <c r="X8" s="28" t="s">
        <v>104</v>
      </c>
      <c r="Y8" s="28" t="s">
        <v>104</v>
      </c>
      <c r="Z8" s="28">
        <v>37.299999999999997</v>
      </c>
      <c r="AA8" s="28" t="s">
        <v>104</v>
      </c>
      <c r="AB8" s="28" t="s">
        <v>104</v>
      </c>
      <c r="AC8" s="28" t="s">
        <v>104</v>
      </c>
      <c r="AD8" s="28" t="s">
        <v>104</v>
      </c>
      <c r="AE8" s="28" t="s">
        <v>104</v>
      </c>
    </row>
    <row r="9" spans="1:31" x14ac:dyDescent="0.15">
      <c r="A9" s="29">
        <v>8</v>
      </c>
      <c r="B9" s="34" t="s">
        <v>136</v>
      </c>
      <c r="C9" s="35">
        <v>45343</v>
      </c>
      <c r="D9" s="28">
        <v>41.5</v>
      </c>
      <c r="E9" s="28" t="s">
        <v>104</v>
      </c>
      <c r="F9" s="28" t="s">
        <v>104</v>
      </c>
      <c r="G9" s="28" t="s">
        <v>104</v>
      </c>
      <c r="H9" s="28" t="s">
        <v>104</v>
      </c>
      <c r="I9" s="28" t="s">
        <v>104</v>
      </c>
      <c r="J9" s="28" t="s">
        <v>104</v>
      </c>
      <c r="K9" s="28" t="s">
        <v>104</v>
      </c>
      <c r="L9" s="28" t="s">
        <v>104</v>
      </c>
      <c r="M9" s="28" t="s">
        <v>104</v>
      </c>
      <c r="N9" s="28" t="s">
        <v>104</v>
      </c>
      <c r="O9" s="28" t="s">
        <v>104</v>
      </c>
      <c r="P9" s="28" t="s">
        <v>104</v>
      </c>
      <c r="Q9" s="28" t="s">
        <v>104</v>
      </c>
      <c r="R9" s="28" t="s">
        <v>104</v>
      </c>
      <c r="S9" s="28" t="s">
        <v>104</v>
      </c>
      <c r="T9" s="28">
        <v>40.799999999999997</v>
      </c>
      <c r="U9" s="28" t="s">
        <v>104</v>
      </c>
      <c r="V9" s="28" t="s">
        <v>104</v>
      </c>
      <c r="W9" s="28" t="s">
        <v>104</v>
      </c>
      <c r="X9" s="28" t="s">
        <v>104</v>
      </c>
      <c r="Y9" s="28" t="s">
        <v>104</v>
      </c>
      <c r="Z9" s="28" t="s">
        <v>104</v>
      </c>
      <c r="AA9" s="28" t="s">
        <v>104</v>
      </c>
      <c r="AB9" s="28" t="s">
        <v>104</v>
      </c>
      <c r="AC9" s="28" t="s">
        <v>104</v>
      </c>
      <c r="AD9" s="28" t="s">
        <v>104</v>
      </c>
      <c r="AE9" s="28" t="s">
        <v>104</v>
      </c>
    </row>
    <row r="10" spans="1:31" x14ac:dyDescent="0.15">
      <c r="A10" s="29">
        <v>9</v>
      </c>
      <c r="B10" s="34" t="s">
        <v>135</v>
      </c>
      <c r="C10" s="35">
        <v>45347</v>
      </c>
      <c r="D10" s="28">
        <v>38.700000000000003</v>
      </c>
      <c r="E10" s="28" t="s">
        <v>104</v>
      </c>
      <c r="F10" s="28" t="s">
        <v>104</v>
      </c>
      <c r="G10" s="28" t="s">
        <v>104</v>
      </c>
      <c r="H10" s="28" t="s">
        <v>104</v>
      </c>
      <c r="I10" s="28" t="s">
        <v>104</v>
      </c>
      <c r="J10" s="28" t="s">
        <v>104</v>
      </c>
      <c r="K10" s="28">
        <v>40.200000000000003</v>
      </c>
      <c r="L10" s="28" t="s">
        <v>104</v>
      </c>
      <c r="M10" s="28" t="s">
        <v>104</v>
      </c>
      <c r="N10" s="28" t="s">
        <v>104</v>
      </c>
      <c r="O10" s="28" t="s">
        <v>104</v>
      </c>
      <c r="P10" s="28" t="s">
        <v>104</v>
      </c>
      <c r="Q10" s="28" t="s">
        <v>104</v>
      </c>
      <c r="R10" s="28" t="s">
        <v>104</v>
      </c>
      <c r="S10" s="28" t="s">
        <v>104</v>
      </c>
      <c r="T10" s="28">
        <v>38.700000000000003</v>
      </c>
      <c r="U10" s="28" t="s">
        <v>104</v>
      </c>
      <c r="V10" s="28" t="s">
        <v>104</v>
      </c>
      <c r="W10" s="28" t="s">
        <v>104</v>
      </c>
      <c r="X10" s="28" t="s">
        <v>104</v>
      </c>
      <c r="Y10" s="28" t="s">
        <v>104</v>
      </c>
      <c r="Z10" s="28">
        <v>38.5</v>
      </c>
      <c r="AA10" s="28" t="s">
        <v>104</v>
      </c>
      <c r="AB10" s="28" t="s">
        <v>104</v>
      </c>
      <c r="AC10" s="28" t="s">
        <v>104</v>
      </c>
      <c r="AD10" s="28" t="s">
        <v>104</v>
      </c>
      <c r="AE10" s="28" t="s">
        <v>104</v>
      </c>
    </row>
    <row r="11" spans="1:31" x14ac:dyDescent="0.15">
      <c r="A11" s="29">
        <v>10</v>
      </c>
      <c r="B11" s="31" t="s">
        <v>134</v>
      </c>
      <c r="C11" s="35">
        <v>45350</v>
      </c>
      <c r="D11" s="28">
        <v>39.4</v>
      </c>
      <c r="E11" s="28" t="s">
        <v>104</v>
      </c>
      <c r="F11" s="28" t="s">
        <v>104</v>
      </c>
      <c r="G11" s="28" t="s">
        <v>104</v>
      </c>
      <c r="H11" s="28" t="s">
        <v>104</v>
      </c>
      <c r="I11" s="28" t="s">
        <v>104</v>
      </c>
      <c r="J11" s="28" t="s">
        <v>104</v>
      </c>
      <c r="K11" s="28" t="s">
        <v>104</v>
      </c>
      <c r="L11" s="28">
        <v>39.4</v>
      </c>
      <c r="M11" s="28" t="s">
        <v>104</v>
      </c>
      <c r="N11" s="28" t="s">
        <v>104</v>
      </c>
      <c r="O11" s="28" t="s">
        <v>104</v>
      </c>
      <c r="P11" s="28" t="s">
        <v>104</v>
      </c>
      <c r="Q11" s="28" t="s">
        <v>104</v>
      </c>
      <c r="R11" s="28" t="s">
        <v>104</v>
      </c>
      <c r="S11" s="28" t="s">
        <v>104</v>
      </c>
      <c r="T11" s="28">
        <v>41.7</v>
      </c>
      <c r="U11" s="28" t="s">
        <v>104</v>
      </c>
      <c r="V11" s="28">
        <v>27.7</v>
      </c>
      <c r="W11" s="28" t="s">
        <v>104</v>
      </c>
      <c r="X11" s="28" t="s">
        <v>104</v>
      </c>
      <c r="Y11" s="28" t="s">
        <v>104</v>
      </c>
      <c r="Z11" s="28">
        <v>38.1</v>
      </c>
      <c r="AA11" s="28">
        <v>39.4</v>
      </c>
      <c r="AB11" s="28" t="s">
        <v>104</v>
      </c>
      <c r="AC11" s="28" t="s">
        <v>104</v>
      </c>
      <c r="AD11" s="28" t="s">
        <v>104</v>
      </c>
      <c r="AE11" s="28" t="s">
        <v>104</v>
      </c>
    </row>
    <row r="12" spans="1:31" x14ac:dyDescent="0.15">
      <c r="A12" s="29">
        <v>11</v>
      </c>
      <c r="B12" s="34" t="s">
        <v>5</v>
      </c>
      <c r="C12" s="35">
        <v>45354</v>
      </c>
      <c r="D12" s="28" t="s">
        <v>104</v>
      </c>
      <c r="E12" s="28" t="s">
        <v>104</v>
      </c>
      <c r="F12" s="28" t="s">
        <v>104</v>
      </c>
      <c r="G12" s="28" t="s">
        <v>104</v>
      </c>
      <c r="H12" s="28" t="s">
        <v>104</v>
      </c>
      <c r="I12" s="28" t="s">
        <v>104</v>
      </c>
      <c r="J12" s="28" t="s">
        <v>104</v>
      </c>
      <c r="K12" s="28" t="s">
        <v>104</v>
      </c>
      <c r="L12" s="28">
        <v>41.5</v>
      </c>
      <c r="M12" s="28" t="s">
        <v>104</v>
      </c>
      <c r="N12" s="28" t="s">
        <v>104</v>
      </c>
      <c r="O12" s="28" t="s">
        <v>104</v>
      </c>
      <c r="P12" s="28" t="s">
        <v>104</v>
      </c>
      <c r="Q12" s="28" t="s">
        <v>104</v>
      </c>
      <c r="R12" s="28" t="s">
        <v>104</v>
      </c>
      <c r="S12" s="28" t="s">
        <v>104</v>
      </c>
      <c r="T12" s="28" t="s">
        <v>104</v>
      </c>
      <c r="U12" s="28" t="s">
        <v>104</v>
      </c>
      <c r="V12" s="28" t="s">
        <v>104</v>
      </c>
      <c r="W12" s="28" t="s">
        <v>104</v>
      </c>
      <c r="X12" s="28" t="s">
        <v>104</v>
      </c>
      <c r="Y12" s="28" t="s">
        <v>104</v>
      </c>
      <c r="Z12" s="28" t="s">
        <v>104</v>
      </c>
      <c r="AA12" s="28" t="s">
        <v>104</v>
      </c>
      <c r="AB12" s="28" t="s">
        <v>104</v>
      </c>
      <c r="AC12" s="28" t="s">
        <v>104</v>
      </c>
      <c r="AD12" s="28" t="s">
        <v>104</v>
      </c>
      <c r="AE12" s="28" t="s">
        <v>104</v>
      </c>
    </row>
    <row r="13" spans="1:31" x14ac:dyDescent="0.15">
      <c r="A13" s="29">
        <v>12</v>
      </c>
      <c r="B13" s="34" t="s">
        <v>6</v>
      </c>
      <c r="C13" s="35">
        <v>45357</v>
      </c>
      <c r="D13" s="28">
        <v>39.5</v>
      </c>
      <c r="E13" s="28" t="s">
        <v>104</v>
      </c>
      <c r="F13" s="28" t="s">
        <v>104</v>
      </c>
      <c r="G13" s="28" t="s">
        <v>104</v>
      </c>
      <c r="H13" s="28" t="s">
        <v>104</v>
      </c>
      <c r="I13" s="28" t="s">
        <v>104</v>
      </c>
      <c r="J13" s="28" t="s">
        <v>104</v>
      </c>
      <c r="K13" s="28" t="s">
        <v>104</v>
      </c>
      <c r="L13" s="28" t="s">
        <v>104</v>
      </c>
      <c r="M13" s="28" t="s">
        <v>104</v>
      </c>
      <c r="N13" s="28" t="s">
        <v>104</v>
      </c>
      <c r="O13" s="28" t="s">
        <v>104</v>
      </c>
      <c r="P13" s="28" t="s">
        <v>104</v>
      </c>
      <c r="Q13" s="28" t="s">
        <v>104</v>
      </c>
      <c r="R13" s="28" t="s">
        <v>104</v>
      </c>
      <c r="S13" s="28" t="s">
        <v>104</v>
      </c>
      <c r="T13" s="28">
        <v>35</v>
      </c>
      <c r="U13" s="28" t="s">
        <v>104</v>
      </c>
      <c r="V13" s="28">
        <v>41.2</v>
      </c>
      <c r="W13" s="28" t="s">
        <v>104</v>
      </c>
      <c r="X13" s="28" t="s">
        <v>104</v>
      </c>
      <c r="Y13" s="28" t="s">
        <v>104</v>
      </c>
      <c r="Z13" s="28">
        <v>39.200000000000003</v>
      </c>
      <c r="AA13" s="28">
        <v>39.9</v>
      </c>
      <c r="AB13" s="28" t="s">
        <v>104</v>
      </c>
      <c r="AC13" s="28" t="s">
        <v>104</v>
      </c>
      <c r="AD13" s="28">
        <v>40.200000000000003</v>
      </c>
      <c r="AE13" s="28" t="s">
        <v>104</v>
      </c>
    </row>
    <row r="14" spans="1:31" x14ac:dyDescent="0.15">
      <c r="A14" s="29">
        <v>13</v>
      </c>
      <c r="B14" s="34" t="s">
        <v>7</v>
      </c>
      <c r="C14" s="35">
        <v>45361</v>
      </c>
      <c r="D14" s="28" t="s">
        <v>104</v>
      </c>
      <c r="E14" s="28" t="s">
        <v>104</v>
      </c>
      <c r="F14" s="28" t="s">
        <v>104</v>
      </c>
      <c r="G14" s="28" t="s">
        <v>104</v>
      </c>
      <c r="H14" s="28" t="s">
        <v>104</v>
      </c>
      <c r="I14" s="28" t="s">
        <v>104</v>
      </c>
      <c r="J14" s="28" t="s">
        <v>104</v>
      </c>
      <c r="K14" s="28" t="s">
        <v>104</v>
      </c>
      <c r="L14" s="28" t="s">
        <v>104</v>
      </c>
      <c r="M14" s="28" t="s">
        <v>104</v>
      </c>
      <c r="N14" s="28" t="s">
        <v>104</v>
      </c>
      <c r="O14" s="28" t="s">
        <v>104</v>
      </c>
      <c r="P14" s="28" t="s">
        <v>104</v>
      </c>
      <c r="Q14" s="28" t="s">
        <v>104</v>
      </c>
      <c r="R14" s="28" t="s">
        <v>104</v>
      </c>
      <c r="S14" s="28" t="s">
        <v>104</v>
      </c>
      <c r="T14" s="28" t="s">
        <v>104</v>
      </c>
      <c r="U14" s="28" t="s">
        <v>104</v>
      </c>
      <c r="V14" s="28" t="s">
        <v>104</v>
      </c>
      <c r="W14" s="28" t="s">
        <v>104</v>
      </c>
      <c r="X14" s="28" t="s">
        <v>104</v>
      </c>
      <c r="Y14" s="28" t="s">
        <v>104</v>
      </c>
      <c r="Z14" s="28">
        <v>41.4</v>
      </c>
      <c r="AA14" s="28" t="s">
        <v>104</v>
      </c>
      <c r="AB14" s="28" t="s">
        <v>104</v>
      </c>
      <c r="AC14" s="28" t="s">
        <v>104</v>
      </c>
      <c r="AD14" s="28" t="s">
        <v>104</v>
      </c>
      <c r="AE14" s="28" t="s">
        <v>104</v>
      </c>
    </row>
    <row r="15" spans="1:31" x14ac:dyDescent="0.15">
      <c r="A15" s="29">
        <v>14</v>
      </c>
      <c r="B15" s="34" t="s">
        <v>8</v>
      </c>
      <c r="C15" s="35">
        <v>45368</v>
      </c>
      <c r="D15" s="28" t="s">
        <v>104</v>
      </c>
      <c r="E15" s="28" t="s">
        <v>104</v>
      </c>
      <c r="F15" s="28" t="s">
        <v>104</v>
      </c>
      <c r="G15" s="28" t="s">
        <v>104</v>
      </c>
      <c r="H15" s="28" t="s">
        <v>104</v>
      </c>
      <c r="I15" s="28" t="s">
        <v>104</v>
      </c>
      <c r="J15" s="28" t="s">
        <v>104</v>
      </c>
      <c r="K15" s="28" t="s">
        <v>104</v>
      </c>
      <c r="L15" s="28" t="s">
        <v>104</v>
      </c>
      <c r="M15" s="28">
        <v>40</v>
      </c>
      <c r="N15" s="28" t="s">
        <v>104</v>
      </c>
      <c r="O15" s="28" t="s">
        <v>104</v>
      </c>
      <c r="P15" s="28" t="s">
        <v>104</v>
      </c>
      <c r="Q15" s="28" t="s">
        <v>104</v>
      </c>
      <c r="R15" s="28" t="s">
        <v>104</v>
      </c>
      <c r="S15" s="28" t="s">
        <v>104</v>
      </c>
      <c r="T15" s="28" t="s">
        <v>104</v>
      </c>
      <c r="U15" s="28" t="s">
        <v>104</v>
      </c>
      <c r="V15" s="28" t="s">
        <v>104</v>
      </c>
      <c r="W15" s="28" t="s">
        <v>104</v>
      </c>
      <c r="X15" s="28" t="s">
        <v>104</v>
      </c>
      <c r="Y15" s="28" t="s">
        <v>104</v>
      </c>
      <c r="Z15" s="28">
        <v>38.299999999999997</v>
      </c>
      <c r="AA15" s="28" t="s">
        <v>104</v>
      </c>
      <c r="AB15" s="28" t="s">
        <v>104</v>
      </c>
      <c r="AC15" s="28" t="s">
        <v>104</v>
      </c>
      <c r="AD15" s="28">
        <v>39.6</v>
      </c>
      <c r="AE15" s="28" t="s">
        <v>104</v>
      </c>
    </row>
    <row r="16" spans="1:31" x14ac:dyDescent="0.15">
      <c r="A16" s="29">
        <v>15</v>
      </c>
      <c r="B16" s="31" t="s">
        <v>133</v>
      </c>
      <c r="C16" s="35">
        <v>45371</v>
      </c>
      <c r="D16" s="28">
        <v>38.299999999999997</v>
      </c>
      <c r="E16" s="28" t="s">
        <v>104</v>
      </c>
      <c r="F16" s="28" t="s">
        <v>104</v>
      </c>
      <c r="G16" s="28" t="s">
        <v>104</v>
      </c>
      <c r="H16" s="28" t="s">
        <v>104</v>
      </c>
      <c r="I16" s="28" t="s">
        <v>104</v>
      </c>
      <c r="J16" s="28" t="s">
        <v>104</v>
      </c>
      <c r="K16" s="28" t="s">
        <v>104</v>
      </c>
      <c r="L16" s="28" t="s">
        <v>104</v>
      </c>
      <c r="M16" s="28" t="s">
        <v>104</v>
      </c>
      <c r="N16" s="28" t="s">
        <v>104</v>
      </c>
      <c r="O16" s="28">
        <v>42.5</v>
      </c>
      <c r="P16" s="28">
        <v>39.700000000000003</v>
      </c>
      <c r="Q16" s="28" t="s">
        <v>104</v>
      </c>
      <c r="R16" s="28" t="s">
        <v>104</v>
      </c>
      <c r="S16" s="28" t="s">
        <v>104</v>
      </c>
      <c r="T16" s="28">
        <v>38.299999999999997</v>
      </c>
      <c r="U16" s="28" t="s">
        <v>104</v>
      </c>
      <c r="V16" s="28">
        <v>39.1</v>
      </c>
      <c r="W16" s="28" t="s">
        <v>104</v>
      </c>
      <c r="X16" s="28" t="s">
        <v>104</v>
      </c>
      <c r="Y16" s="28" t="s">
        <v>104</v>
      </c>
      <c r="Z16" s="28">
        <v>38.700000000000003</v>
      </c>
      <c r="AA16" s="28" t="s">
        <v>104</v>
      </c>
      <c r="AB16" s="28" t="s">
        <v>104</v>
      </c>
      <c r="AC16" s="28" t="s">
        <v>104</v>
      </c>
      <c r="AD16" s="28" t="s">
        <v>104</v>
      </c>
      <c r="AE16" s="28" t="s">
        <v>104</v>
      </c>
    </row>
    <row r="17" spans="1:31" x14ac:dyDescent="0.15">
      <c r="A17" s="29">
        <v>16</v>
      </c>
      <c r="B17" s="34" t="s">
        <v>9</v>
      </c>
      <c r="C17" s="35">
        <v>45375</v>
      </c>
      <c r="D17" s="28">
        <v>37.9</v>
      </c>
      <c r="E17" s="28" t="s">
        <v>104</v>
      </c>
      <c r="F17" s="28" t="s">
        <v>104</v>
      </c>
      <c r="G17" s="28" t="s">
        <v>104</v>
      </c>
      <c r="H17" s="28" t="s">
        <v>104</v>
      </c>
      <c r="I17" s="28" t="s">
        <v>104</v>
      </c>
      <c r="J17" s="28" t="s">
        <v>104</v>
      </c>
      <c r="K17" s="28" t="s">
        <v>104</v>
      </c>
      <c r="L17" s="28">
        <v>39.1</v>
      </c>
      <c r="M17" s="28" t="s">
        <v>104</v>
      </c>
      <c r="N17" s="28">
        <v>42.5</v>
      </c>
      <c r="O17" s="28" t="s">
        <v>104</v>
      </c>
      <c r="P17" s="28" t="s">
        <v>104</v>
      </c>
      <c r="Q17" s="28" t="s">
        <v>104</v>
      </c>
      <c r="R17" s="28" t="s">
        <v>104</v>
      </c>
      <c r="S17" s="28" t="s">
        <v>104</v>
      </c>
      <c r="T17" s="28">
        <v>41</v>
      </c>
      <c r="U17" s="28" t="s">
        <v>104</v>
      </c>
      <c r="V17" s="28">
        <v>38.5</v>
      </c>
      <c r="W17" s="28" t="s">
        <v>104</v>
      </c>
      <c r="X17" s="28" t="s">
        <v>104</v>
      </c>
      <c r="Y17" s="28" t="s">
        <v>104</v>
      </c>
      <c r="Z17" s="28">
        <v>39.299999999999997</v>
      </c>
      <c r="AA17" s="28" t="s">
        <v>104</v>
      </c>
      <c r="AB17" s="28" t="s">
        <v>104</v>
      </c>
      <c r="AC17" s="28" t="s">
        <v>104</v>
      </c>
      <c r="AD17" s="28">
        <v>38.200000000000003</v>
      </c>
      <c r="AE17" s="28" t="s">
        <v>104</v>
      </c>
    </row>
    <row r="18" spans="1:31" x14ac:dyDescent="0.15">
      <c r="A18" s="29">
        <v>17</v>
      </c>
      <c r="B18" s="34" t="s">
        <v>10</v>
      </c>
      <c r="C18" s="35">
        <v>45378</v>
      </c>
      <c r="D18" s="28" t="s">
        <v>104</v>
      </c>
      <c r="E18" s="28" t="s">
        <v>104</v>
      </c>
      <c r="F18" s="28" t="s">
        <v>104</v>
      </c>
      <c r="G18" s="28" t="s">
        <v>104</v>
      </c>
      <c r="H18" s="28" t="s">
        <v>104</v>
      </c>
      <c r="I18" s="28" t="s">
        <v>104</v>
      </c>
      <c r="J18" s="28" t="s">
        <v>104</v>
      </c>
      <c r="K18" s="28" t="s">
        <v>104</v>
      </c>
      <c r="L18" s="28" t="s">
        <v>104</v>
      </c>
      <c r="M18" s="28" t="s">
        <v>104</v>
      </c>
      <c r="N18" s="28" t="s">
        <v>104</v>
      </c>
      <c r="O18" s="28" t="s">
        <v>104</v>
      </c>
      <c r="P18" s="28" t="s">
        <v>104</v>
      </c>
      <c r="Q18" s="28" t="s">
        <v>104</v>
      </c>
      <c r="R18" s="28" t="s">
        <v>104</v>
      </c>
      <c r="S18" s="28" t="s">
        <v>104</v>
      </c>
      <c r="T18" s="28" t="s">
        <v>104</v>
      </c>
      <c r="U18" s="28" t="s">
        <v>104</v>
      </c>
      <c r="V18" s="28" t="s">
        <v>104</v>
      </c>
      <c r="W18" s="28" t="s">
        <v>104</v>
      </c>
      <c r="X18" s="28" t="s">
        <v>104</v>
      </c>
      <c r="Y18" s="28" t="s">
        <v>104</v>
      </c>
      <c r="Z18" s="28">
        <v>40.5</v>
      </c>
      <c r="AA18" s="28" t="s">
        <v>104</v>
      </c>
      <c r="AB18" s="28" t="s">
        <v>104</v>
      </c>
      <c r="AC18" s="28" t="s">
        <v>104</v>
      </c>
      <c r="AD18" s="28" t="s">
        <v>104</v>
      </c>
      <c r="AE18" s="28" t="s">
        <v>104</v>
      </c>
    </row>
    <row r="19" spans="1:31" x14ac:dyDescent="0.15">
      <c r="A19" s="29">
        <v>18</v>
      </c>
      <c r="B19" s="34" t="s">
        <v>11</v>
      </c>
      <c r="C19" s="35">
        <v>45382</v>
      </c>
      <c r="D19" s="28" t="s">
        <v>104</v>
      </c>
      <c r="E19" s="28" t="s">
        <v>104</v>
      </c>
      <c r="F19" s="28" t="s">
        <v>104</v>
      </c>
      <c r="G19" s="28" t="s">
        <v>104</v>
      </c>
      <c r="H19" s="28" t="s">
        <v>104</v>
      </c>
      <c r="I19" s="28" t="s">
        <v>104</v>
      </c>
      <c r="J19" s="28" t="s">
        <v>104</v>
      </c>
      <c r="K19" s="28" t="s">
        <v>104</v>
      </c>
      <c r="L19" s="28" t="s">
        <v>104</v>
      </c>
      <c r="M19" s="28" t="s">
        <v>104</v>
      </c>
      <c r="N19" s="28" t="s">
        <v>104</v>
      </c>
      <c r="O19" s="28" t="s">
        <v>104</v>
      </c>
      <c r="P19" s="28" t="s">
        <v>104</v>
      </c>
      <c r="Q19" s="28" t="s">
        <v>104</v>
      </c>
      <c r="R19" s="28" t="s">
        <v>104</v>
      </c>
      <c r="S19" s="28" t="s">
        <v>104</v>
      </c>
      <c r="T19" s="28" t="s">
        <v>104</v>
      </c>
      <c r="U19" s="28" t="s">
        <v>104</v>
      </c>
      <c r="V19" s="28">
        <v>41.4</v>
      </c>
      <c r="W19" s="28" t="s">
        <v>104</v>
      </c>
      <c r="X19" s="28" t="s">
        <v>104</v>
      </c>
      <c r="Y19" s="28" t="s">
        <v>104</v>
      </c>
      <c r="Z19" s="28" t="s">
        <v>104</v>
      </c>
      <c r="AA19" s="28" t="s">
        <v>104</v>
      </c>
      <c r="AB19" s="28" t="s">
        <v>104</v>
      </c>
      <c r="AC19" s="28" t="s">
        <v>104</v>
      </c>
      <c r="AD19" s="28" t="s">
        <v>104</v>
      </c>
      <c r="AE19" s="28" t="s">
        <v>104</v>
      </c>
    </row>
    <row r="20" spans="1:31" x14ac:dyDescent="0.15">
      <c r="A20" s="29">
        <v>19</v>
      </c>
      <c r="B20" s="34" t="s">
        <v>12</v>
      </c>
      <c r="C20" s="35">
        <v>45385</v>
      </c>
      <c r="D20" s="28">
        <v>38</v>
      </c>
      <c r="E20" s="28" t="s">
        <v>104</v>
      </c>
      <c r="F20" s="28" t="s">
        <v>104</v>
      </c>
      <c r="G20" s="28" t="s">
        <v>104</v>
      </c>
      <c r="H20" s="28" t="s">
        <v>104</v>
      </c>
      <c r="I20" s="28" t="s">
        <v>104</v>
      </c>
      <c r="J20" s="28" t="s">
        <v>104</v>
      </c>
      <c r="K20" s="28" t="s">
        <v>104</v>
      </c>
      <c r="L20" s="28">
        <v>40.5</v>
      </c>
      <c r="M20" s="28" t="s">
        <v>104</v>
      </c>
      <c r="N20" s="28" t="s">
        <v>104</v>
      </c>
      <c r="O20" s="28" t="s">
        <v>104</v>
      </c>
      <c r="P20" s="28" t="s">
        <v>104</v>
      </c>
      <c r="Q20" s="28" t="s">
        <v>104</v>
      </c>
      <c r="R20" s="28" t="s">
        <v>104</v>
      </c>
      <c r="S20" s="28" t="s">
        <v>104</v>
      </c>
      <c r="T20" s="28">
        <v>40.799999999999997</v>
      </c>
      <c r="U20" s="28" t="s">
        <v>104</v>
      </c>
      <c r="V20" s="28" t="s">
        <v>104</v>
      </c>
      <c r="W20" s="28" t="s">
        <v>104</v>
      </c>
      <c r="X20" s="28" t="s">
        <v>104</v>
      </c>
      <c r="Y20" s="28" t="s">
        <v>104</v>
      </c>
      <c r="Z20" s="28">
        <v>38</v>
      </c>
      <c r="AA20" s="28">
        <v>40.5</v>
      </c>
      <c r="AB20" s="28" t="s">
        <v>104</v>
      </c>
      <c r="AC20" s="28" t="s">
        <v>104</v>
      </c>
      <c r="AD20" s="28" t="s">
        <v>104</v>
      </c>
      <c r="AE20" s="28" t="s">
        <v>104</v>
      </c>
    </row>
    <row r="21" spans="1:31" x14ac:dyDescent="0.15">
      <c r="A21" s="29">
        <v>20</v>
      </c>
      <c r="B21" s="34" t="s">
        <v>13</v>
      </c>
      <c r="C21" s="35">
        <v>45389</v>
      </c>
      <c r="D21" s="28">
        <v>37.299999999999997</v>
      </c>
      <c r="E21" s="28" t="s">
        <v>104</v>
      </c>
      <c r="F21" s="28" t="s">
        <v>104</v>
      </c>
      <c r="G21" s="28" t="s">
        <v>104</v>
      </c>
      <c r="H21" s="28" t="s">
        <v>104</v>
      </c>
      <c r="I21" s="28" t="s">
        <v>104</v>
      </c>
      <c r="J21" s="28" t="s">
        <v>104</v>
      </c>
      <c r="K21" s="28" t="s">
        <v>104</v>
      </c>
      <c r="L21" s="28" t="s">
        <v>104</v>
      </c>
      <c r="M21" s="28" t="s">
        <v>104</v>
      </c>
      <c r="N21" s="28" t="s">
        <v>104</v>
      </c>
      <c r="O21" s="28" t="s">
        <v>104</v>
      </c>
      <c r="P21" s="28">
        <v>39.299999999999997</v>
      </c>
      <c r="Q21" s="28" t="s">
        <v>104</v>
      </c>
      <c r="R21" s="28" t="s">
        <v>104</v>
      </c>
      <c r="S21" s="28" t="s">
        <v>104</v>
      </c>
      <c r="T21" s="28">
        <v>40.799999999999997</v>
      </c>
      <c r="U21" s="28" t="s">
        <v>104</v>
      </c>
      <c r="V21" s="28">
        <v>39.799999999999997</v>
      </c>
      <c r="W21" s="28" t="s">
        <v>104</v>
      </c>
      <c r="X21" s="28">
        <v>41.9</v>
      </c>
      <c r="Y21" s="28" t="s">
        <v>104</v>
      </c>
      <c r="Z21" s="28">
        <v>37.9</v>
      </c>
      <c r="AA21" s="28" t="s">
        <v>104</v>
      </c>
      <c r="AB21" s="28" t="s">
        <v>104</v>
      </c>
      <c r="AC21" s="28" t="s">
        <v>104</v>
      </c>
      <c r="AD21" s="28" t="s">
        <v>104</v>
      </c>
      <c r="AE21" s="28" t="s">
        <v>104</v>
      </c>
    </row>
    <row r="22" spans="1:31" x14ac:dyDescent="0.15">
      <c r="A22" s="29">
        <v>21</v>
      </c>
      <c r="B22" s="34" t="s">
        <v>14</v>
      </c>
      <c r="C22" s="35">
        <v>45392</v>
      </c>
      <c r="D22" s="28" t="s">
        <v>104</v>
      </c>
      <c r="E22" s="28" t="s">
        <v>104</v>
      </c>
      <c r="F22" s="28" t="s">
        <v>104</v>
      </c>
      <c r="G22" s="28" t="s">
        <v>104</v>
      </c>
      <c r="H22" s="28" t="s">
        <v>104</v>
      </c>
      <c r="I22" s="28" t="s">
        <v>104</v>
      </c>
      <c r="J22" s="28" t="s">
        <v>104</v>
      </c>
      <c r="K22" s="28" t="s">
        <v>104</v>
      </c>
      <c r="L22" s="28" t="s">
        <v>104</v>
      </c>
      <c r="M22" s="28" t="s">
        <v>104</v>
      </c>
      <c r="N22" s="28" t="s">
        <v>104</v>
      </c>
      <c r="O22" s="28" t="s">
        <v>104</v>
      </c>
      <c r="P22" s="28" t="s">
        <v>104</v>
      </c>
      <c r="Q22" s="28" t="s">
        <v>104</v>
      </c>
      <c r="R22" s="28" t="s">
        <v>104</v>
      </c>
      <c r="S22" s="28" t="s">
        <v>104</v>
      </c>
      <c r="T22" s="28">
        <v>41.4</v>
      </c>
      <c r="U22" s="28" t="s">
        <v>104</v>
      </c>
      <c r="V22" s="28" t="s">
        <v>104</v>
      </c>
      <c r="W22" s="28" t="s">
        <v>104</v>
      </c>
      <c r="X22" s="28" t="s">
        <v>104</v>
      </c>
      <c r="Y22" s="28" t="s">
        <v>104</v>
      </c>
      <c r="Z22" s="28" t="s">
        <v>104</v>
      </c>
      <c r="AA22" s="28" t="s">
        <v>104</v>
      </c>
      <c r="AB22" s="28" t="s">
        <v>104</v>
      </c>
      <c r="AC22" s="28" t="s">
        <v>104</v>
      </c>
      <c r="AD22" s="28" t="s">
        <v>104</v>
      </c>
      <c r="AE22" s="28" t="s">
        <v>104</v>
      </c>
    </row>
    <row r="23" spans="1:31" x14ac:dyDescent="0.15">
      <c r="A23" s="29">
        <v>22</v>
      </c>
      <c r="B23" s="34" t="s">
        <v>15</v>
      </c>
      <c r="C23" s="35">
        <v>45396</v>
      </c>
      <c r="D23" s="28">
        <v>37</v>
      </c>
      <c r="E23" s="28" t="s">
        <v>104</v>
      </c>
      <c r="F23" s="28">
        <v>41.6</v>
      </c>
      <c r="G23" s="28" t="s">
        <v>104</v>
      </c>
      <c r="H23" s="28" t="s">
        <v>104</v>
      </c>
      <c r="I23" s="28" t="s">
        <v>104</v>
      </c>
      <c r="J23" s="28" t="s">
        <v>104</v>
      </c>
      <c r="K23" s="28" t="s">
        <v>104</v>
      </c>
      <c r="L23" s="28">
        <v>41.4</v>
      </c>
      <c r="M23" s="28" t="s">
        <v>104</v>
      </c>
      <c r="N23" s="28">
        <v>40.4</v>
      </c>
      <c r="O23" s="28">
        <v>40.5</v>
      </c>
      <c r="P23" s="28" t="s">
        <v>104</v>
      </c>
      <c r="Q23" s="28" t="s">
        <v>104</v>
      </c>
      <c r="R23" s="28" t="s">
        <v>104</v>
      </c>
      <c r="S23" s="28" t="s">
        <v>104</v>
      </c>
      <c r="T23" s="28">
        <v>39.5</v>
      </c>
      <c r="U23" s="28" t="s">
        <v>104</v>
      </c>
      <c r="V23" s="28" t="s">
        <v>104</v>
      </c>
      <c r="W23" s="28" t="s">
        <v>104</v>
      </c>
      <c r="X23" s="28" t="s">
        <v>104</v>
      </c>
      <c r="Y23" s="28" t="s">
        <v>104</v>
      </c>
      <c r="Z23" s="28">
        <v>37.1</v>
      </c>
      <c r="AA23" s="28" t="s">
        <v>104</v>
      </c>
      <c r="AB23" s="28" t="s">
        <v>104</v>
      </c>
      <c r="AC23" s="28" t="s">
        <v>104</v>
      </c>
      <c r="AD23" s="28">
        <v>38</v>
      </c>
      <c r="AE23" s="28" t="s">
        <v>104</v>
      </c>
    </row>
    <row r="24" spans="1:31" x14ac:dyDescent="0.15">
      <c r="A24" s="29">
        <v>23</v>
      </c>
      <c r="B24" s="34" t="s">
        <v>16</v>
      </c>
      <c r="C24" s="35">
        <v>45399</v>
      </c>
      <c r="D24" s="28">
        <v>37.799999999999997</v>
      </c>
      <c r="E24" s="28" t="s">
        <v>104</v>
      </c>
      <c r="F24" s="28" t="s">
        <v>104</v>
      </c>
      <c r="G24" s="28" t="s">
        <v>104</v>
      </c>
      <c r="H24" s="28" t="s">
        <v>104</v>
      </c>
      <c r="I24" s="28" t="s">
        <v>104</v>
      </c>
      <c r="J24" s="28" t="s">
        <v>104</v>
      </c>
      <c r="K24" s="28" t="s">
        <v>104</v>
      </c>
      <c r="L24" s="28" t="s">
        <v>104</v>
      </c>
      <c r="M24" s="28" t="s">
        <v>104</v>
      </c>
      <c r="N24" s="28" t="s">
        <v>104</v>
      </c>
      <c r="O24" s="28" t="s">
        <v>104</v>
      </c>
      <c r="P24" s="28" t="s">
        <v>104</v>
      </c>
      <c r="Q24" s="28" t="s">
        <v>104</v>
      </c>
      <c r="R24" s="28" t="s">
        <v>104</v>
      </c>
      <c r="S24" s="28" t="s">
        <v>104</v>
      </c>
      <c r="T24" s="28">
        <v>39.700000000000003</v>
      </c>
      <c r="U24" s="28" t="s">
        <v>104</v>
      </c>
      <c r="V24" s="28" t="s">
        <v>104</v>
      </c>
      <c r="W24" s="28" t="s">
        <v>104</v>
      </c>
      <c r="X24" s="28" t="s">
        <v>104</v>
      </c>
      <c r="Y24" s="28" t="s">
        <v>104</v>
      </c>
      <c r="Z24" s="28">
        <v>38.799999999999997</v>
      </c>
      <c r="AA24" s="28" t="s">
        <v>104</v>
      </c>
      <c r="AB24" s="28" t="s">
        <v>104</v>
      </c>
      <c r="AC24" s="28" t="s">
        <v>104</v>
      </c>
      <c r="AD24" s="28">
        <v>40.4</v>
      </c>
      <c r="AE24" s="28" t="s">
        <v>104</v>
      </c>
    </row>
    <row r="25" spans="1:31" x14ac:dyDescent="0.15">
      <c r="A25" s="29">
        <v>24</v>
      </c>
      <c r="B25" s="34" t="s">
        <v>17</v>
      </c>
      <c r="C25" s="35">
        <v>45403</v>
      </c>
      <c r="D25" s="28">
        <v>38.4</v>
      </c>
      <c r="E25" s="28" t="s">
        <v>104</v>
      </c>
      <c r="F25" s="28" t="s">
        <v>104</v>
      </c>
      <c r="G25" s="28" t="s">
        <v>104</v>
      </c>
      <c r="H25" s="28" t="s">
        <v>104</v>
      </c>
      <c r="I25" s="28" t="s">
        <v>104</v>
      </c>
      <c r="J25" s="28" t="s">
        <v>104</v>
      </c>
      <c r="K25" s="28" t="s">
        <v>104</v>
      </c>
      <c r="L25" s="28" t="s">
        <v>104</v>
      </c>
      <c r="M25" s="28" t="s">
        <v>104</v>
      </c>
      <c r="N25" s="28" t="s">
        <v>104</v>
      </c>
      <c r="O25" s="28" t="s">
        <v>104</v>
      </c>
      <c r="P25" s="28" t="s">
        <v>104</v>
      </c>
      <c r="Q25" s="28" t="s">
        <v>104</v>
      </c>
      <c r="R25" s="28" t="s">
        <v>104</v>
      </c>
      <c r="S25" s="28" t="s">
        <v>104</v>
      </c>
      <c r="T25" s="28" t="s">
        <v>104</v>
      </c>
      <c r="U25" s="28" t="s">
        <v>104</v>
      </c>
      <c r="V25" s="28" t="s">
        <v>104</v>
      </c>
      <c r="W25" s="28" t="s">
        <v>104</v>
      </c>
      <c r="X25" s="28" t="s">
        <v>104</v>
      </c>
      <c r="Y25" s="28" t="s">
        <v>104</v>
      </c>
      <c r="Z25" s="28">
        <v>39.5</v>
      </c>
      <c r="AA25" s="28" t="s">
        <v>104</v>
      </c>
      <c r="AB25" s="28" t="s">
        <v>104</v>
      </c>
      <c r="AC25" s="28" t="s">
        <v>104</v>
      </c>
      <c r="AD25" s="28">
        <v>39.5</v>
      </c>
      <c r="AE25" s="28" t="s">
        <v>104</v>
      </c>
    </row>
    <row r="26" spans="1:31" x14ac:dyDescent="0.15">
      <c r="A26" s="29">
        <v>25</v>
      </c>
      <c r="B26" s="31" t="s">
        <v>144</v>
      </c>
      <c r="C26" s="35">
        <v>45406</v>
      </c>
      <c r="D26" s="28" t="s">
        <v>104</v>
      </c>
      <c r="E26" s="28">
        <v>38.700000000000003</v>
      </c>
      <c r="F26" s="28" t="s">
        <v>104</v>
      </c>
      <c r="G26" s="28" t="s">
        <v>104</v>
      </c>
      <c r="H26" s="28" t="s">
        <v>104</v>
      </c>
      <c r="I26" s="28" t="s">
        <v>104</v>
      </c>
      <c r="J26" s="28" t="s">
        <v>104</v>
      </c>
      <c r="K26" s="28">
        <v>40.1</v>
      </c>
      <c r="L26" s="28">
        <v>41.2</v>
      </c>
      <c r="M26" s="28" t="s">
        <v>104</v>
      </c>
      <c r="N26" s="28">
        <v>42.7</v>
      </c>
      <c r="O26" s="28" t="s">
        <v>104</v>
      </c>
      <c r="P26" s="28" t="s">
        <v>104</v>
      </c>
      <c r="Q26" s="28" t="s">
        <v>104</v>
      </c>
      <c r="R26" s="28" t="s">
        <v>104</v>
      </c>
      <c r="S26" s="28" t="s">
        <v>104</v>
      </c>
      <c r="T26" s="28">
        <v>38.4</v>
      </c>
      <c r="U26" s="28" t="s">
        <v>104</v>
      </c>
      <c r="V26" s="28" t="s">
        <v>104</v>
      </c>
      <c r="W26" s="28" t="s">
        <v>104</v>
      </c>
      <c r="X26" s="28" t="s">
        <v>104</v>
      </c>
      <c r="Y26" s="28" t="s">
        <v>104</v>
      </c>
      <c r="Z26" s="28">
        <v>40.299999999999997</v>
      </c>
      <c r="AA26" s="28" t="s">
        <v>104</v>
      </c>
      <c r="AB26" s="28" t="s">
        <v>104</v>
      </c>
      <c r="AC26" s="28" t="s">
        <v>104</v>
      </c>
      <c r="AD26" s="28" t="s">
        <v>104</v>
      </c>
      <c r="AE26" s="28" t="s">
        <v>104</v>
      </c>
    </row>
    <row r="27" spans="1:31" x14ac:dyDescent="0.15">
      <c r="A27" s="29">
        <v>26</v>
      </c>
      <c r="B27" s="34" t="s">
        <v>18</v>
      </c>
      <c r="C27" s="35">
        <v>45410</v>
      </c>
      <c r="D27" s="28" t="s">
        <v>104</v>
      </c>
      <c r="E27" s="28" t="s">
        <v>104</v>
      </c>
      <c r="F27" s="28" t="s">
        <v>104</v>
      </c>
      <c r="G27" s="28" t="s">
        <v>104</v>
      </c>
      <c r="H27" s="28" t="s">
        <v>104</v>
      </c>
      <c r="I27" s="28" t="s">
        <v>104</v>
      </c>
      <c r="J27" s="28" t="s">
        <v>104</v>
      </c>
      <c r="K27" s="28" t="s">
        <v>104</v>
      </c>
      <c r="L27" s="28">
        <v>41.7</v>
      </c>
      <c r="M27" s="28" t="s">
        <v>104</v>
      </c>
      <c r="N27" s="28" t="s">
        <v>104</v>
      </c>
      <c r="O27" s="28" t="s">
        <v>104</v>
      </c>
      <c r="P27" s="28" t="s">
        <v>104</v>
      </c>
      <c r="Q27" s="28" t="s">
        <v>104</v>
      </c>
      <c r="R27" s="28" t="s">
        <v>104</v>
      </c>
      <c r="S27" s="28" t="s">
        <v>104</v>
      </c>
      <c r="T27" s="28" t="s">
        <v>104</v>
      </c>
      <c r="U27" s="28" t="s">
        <v>104</v>
      </c>
      <c r="V27" s="28">
        <v>40.1</v>
      </c>
      <c r="W27" s="28" t="s">
        <v>104</v>
      </c>
      <c r="X27" s="28" t="s">
        <v>104</v>
      </c>
      <c r="Y27" s="28" t="s">
        <v>104</v>
      </c>
      <c r="Z27" s="28">
        <v>38.299999999999997</v>
      </c>
      <c r="AA27" s="28" t="s">
        <v>104</v>
      </c>
      <c r="AB27" s="28" t="s">
        <v>104</v>
      </c>
      <c r="AC27" s="28" t="s">
        <v>104</v>
      </c>
      <c r="AD27" s="28" t="s">
        <v>104</v>
      </c>
      <c r="AE27" s="28" t="s">
        <v>104</v>
      </c>
    </row>
    <row r="28" spans="1:31" x14ac:dyDescent="0.15">
      <c r="A28" s="29">
        <v>27</v>
      </c>
      <c r="B28" s="34" t="s">
        <v>19</v>
      </c>
      <c r="C28" s="35">
        <v>45413</v>
      </c>
      <c r="D28" s="28">
        <v>40</v>
      </c>
      <c r="E28" s="28" t="s">
        <v>104</v>
      </c>
      <c r="F28" s="28">
        <v>41.2</v>
      </c>
      <c r="G28" s="28" t="s">
        <v>104</v>
      </c>
      <c r="H28" s="28" t="s">
        <v>104</v>
      </c>
      <c r="I28" s="28" t="s">
        <v>104</v>
      </c>
      <c r="J28" s="28" t="s">
        <v>104</v>
      </c>
      <c r="K28" s="28" t="s">
        <v>104</v>
      </c>
      <c r="L28" s="28" t="s">
        <v>104</v>
      </c>
      <c r="M28" s="28" t="s">
        <v>104</v>
      </c>
      <c r="N28" s="28">
        <v>41.8</v>
      </c>
      <c r="O28" s="28">
        <v>41.3</v>
      </c>
      <c r="P28" s="28" t="s">
        <v>104</v>
      </c>
      <c r="Q28" s="28" t="s">
        <v>104</v>
      </c>
      <c r="R28" s="28" t="s">
        <v>104</v>
      </c>
      <c r="S28" s="28" t="s">
        <v>104</v>
      </c>
      <c r="T28" s="28">
        <v>39.5</v>
      </c>
      <c r="U28" s="28" t="s">
        <v>104</v>
      </c>
      <c r="V28" s="28" t="s">
        <v>104</v>
      </c>
      <c r="W28" s="28" t="s">
        <v>104</v>
      </c>
      <c r="X28" s="28" t="s">
        <v>104</v>
      </c>
      <c r="Y28" s="28" t="s">
        <v>104</v>
      </c>
      <c r="Z28" s="28">
        <v>42.4</v>
      </c>
      <c r="AA28" s="28" t="s">
        <v>104</v>
      </c>
      <c r="AB28" s="28" t="s">
        <v>104</v>
      </c>
      <c r="AC28" s="28" t="s">
        <v>104</v>
      </c>
      <c r="AD28" s="28" t="s">
        <v>104</v>
      </c>
      <c r="AE28" s="28" t="s">
        <v>104</v>
      </c>
    </row>
    <row r="29" spans="1:31" x14ac:dyDescent="0.15">
      <c r="A29" s="29">
        <v>28</v>
      </c>
      <c r="B29" s="34" t="s">
        <v>20</v>
      </c>
      <c r="C29" s="35">
        <v>45417</v>
      </c>
      <c r="D29" s="28" t="s">
        <v>104</v>
      </c>
      <c r="E29" s="28" t="s">
        <v>104</v>
      </c>
      <c r="F29" s="28" t="s">
        <v>104</v>
      </c>
      <c r="G29" s="28" t="s">
        <v>104</v>
      </c>
      <c r="H29" s="28" t="s">
        <v>104</v>
      </c>
      <c r="I29" s="28" t="s">
        <v>104</v>
      </c>
      <c r="J29" s="28" t="s">
        <v>104</v>
      </c>
      <c r="K29" s="28" t="s">
        <v>104</v>
      </c>
      <c r="L29" s="28" t="s">
        <v>104</v>
      </c>
      <c r="M29" s="28" t="s">
        <v>104</v>
      </c>
      <c r="N29" s="28">
        <v>39.700000000000003</v>
      </c>
      <c r="O29" s="28">
        <v>40.6</v>
      </c>
      <c r="P29" s="28" t="s">
        <v>104</v>
      </c>
      <c r="Q29" s="28" t="s">
        <v>104</v>
      </c>
      <c r="R29" s="28" t="s">
        <v>104</v>
      </c>
      <c r="S29" s="28" t="s">
        <v>104</v>
      </c>
      <c r="T29" s="28">
        <v>40.200000000000003</v>
      </c>
      <c r="U29" s="28" t="s">
        <v>104</v>
      </c>
      <c r="V29" s="28">
        <v>40.799999999999997</v>
      </c>
      <c r="W29" s="28" t="s">
        <v>104</v>
      </c>
      <c r="X29" s="28" t="s">
        <v>104</v>
      </c>
      <c r="Y29" s="28" t="s">
        <v>104</v>
      </c>
      <c r="Z29" s="28">
        <v>40.5</v>
      </c>
      <c r="AA29" s="28" t="s">
        <v>104</v>
      </c>
      <c r="AB29" s="28" t="s">
        <v>104</v>
      </c>
      <c r="AC29" s="28" t="s">
        <v>104</v>
      </c>
      <c r="AD29" s="28">
        <v>38.299999999999997</v>
      </c>
      <c r="AE29" s="28" t="s">
        <v>104</v>
      </c>
    </row>
    <row r="30" spans="1:31" x14ac:dyDescent="0.15">
      <c r="A30" s="29">
        <v>29</v>
      </c>
      <c r="B30" s="31" t="s">
        <v>145</v>
      </c>
      <c r="C30" s="35">
        <v>45427</v>
      </c>
      <c r="D30" s="28">
        <v>39.200000000000003</v>
      </c>
      <c r="E30" s="28" t="s">
        <v>104</v>
      </c>
      <c r="F30" s="28" t="s">
        <v>104</v>
      </c>
      <c r="G30" s="28" t="s">
        <v>104</v>
      </c>
      <c r="H30" s="28" t="s">
        <v>104</v>
      </c>
      <c r="I30" s="28" t="s">
        <v>104</v>
      </c>
      <c r="J30" s="28" t="s">
        <v>104</v>
      </c>
      <c r="K30" s="28" t="s">
        <v>104</v>
      </c>
      <c r="L30" s="28">
        <v>40.1</v>
      </c>
      <c r="M30" s="28" t="s">
        <v>104</v>
      </c>
      <c r="N30" s="28" t="s">
        <v>104</v>
      </c>
      <c r="O30" s="28" t="s">
        <v>104</v>
      </c>
      <c r="P30" s="28" t="s">
        <v>104</v>
      </c>
      <c r="Q30" s="28" t="s">
        <v>104</v>
      </c>
      <c r="R30" s="28" t="s">
        <v>104</v>
      </c>
      <c r="S30" s="28" t="s">
        <v>104</v>
      </c>
      <c r="T30" s="28">
        <v>39.9</v>
      </c>
      <c r="U30" s="28" t="s">
        <v>104</v>
      </c>
      <c r="V30" s="28">
        <v>41.3</v>
      </c>
      <c r="W30" s="28" t="s">
        <v>104</v>
      </c>
      <c r="X30" s="28" t="s">
        <v>104</v>
      </c>
      <c r="Y30" s="28" t="s">
        <v>104</v>
      </c>
      <c r="Z30" s="28">
        <v>39.9</v>
      </c>
      <c r="AA30" s="28" t="s">
        <v>104</v>
      </c>
      <c r="AB30" s="28" t="s">
        <v>104</v>
      </c>
      <c r="AC30" s="28" t="s">
        <v>104</v>
      </c>
      <c r="AD30" s="28" t="s">
        <v>104</v>
      </c>
      <c r="AE30" s="28" t="s">
        <v>104</v>
      </c>
    </row>
    <row r="31" spans="1:31" x14ac:dyDescent="0.15">
      <c r="A31" s="29">
        <v>30</v>
      </c>
      <c r="B31" s="31" t="s">
        <v>146</v>
      </c>
      <c r="C31" s="35">
        <v>45431</v>
      </c>
      <c r="D31" s="28">
        <v>39.9</v>
      </c>
      <c r="E31" s="28" t="s">
        <v>104</v>
      </c>
      <c r="F31" s="28" t="s">
        <v>104</v>
      </c>
      <c r="G31" s="28">
        <v>40.6</v>
      </c>
      <c r="H31" s="28" t="s">
        <v>104</v>
      </c>
      <c r="I31" s="28" t="s">
        <v>104</v>
      </c>
      <c r="J31" s="28" t="s">
        <v>104</v>
      </c>
      <c r="K31" s="28" t="s">
        <v>104</v>
      </c>
      <c r="L31" s="28" t="s">
        <v>104</v>
      </c>
      <c r="M31" s="28" t="s">
        <v>104</v>
      </c>
      <c r="N31" s="28" t="s">
        <v>104</v>
      </c>
      <c r="O31" s="28" t="s">
        <v>104</v>
      </c>
      <c r="P31" s="28" t="s">
        <v>104</v>
      </c>
      <c r="Q31" s="28" t="s">
        <v>104</v>
      </c>
      <c r="R31" s="28" t="s">
        <v>104</v>
      </c>
      <c r="S31" s="28" t="s">
        <v>104</v>
      </c>
      <c r="T31" s="28">
        <v>37.700000000000003</v>
      </c>
      <c r="U31" s="28" t="s">
        <v>104</v>
      </c>
      <c r="V31" s="28" t="s">
        <v>104</v>
      </c>
      <c r="W31" s="28" t="s">
        <v>104</v>
      </c>
      <c r="X31" s="28" t="s">
        <v>104</v>
      </c>
      <c r="Y31" s="28" t="s">
        <v>104</v>
      </c>
      <c r="Z31" s="28">
        <v>42.8</v>
      </c>
      <c r="AA31" s="28" t="s">
        <v>104</v>
      </c>
      <c r="AB31" s="28" t="s">
        <v>104</v>
      </c>
      <c r="AC31" s="28" t="s">
        <v>104</v>
      </c>
      <c r="AD31" s="28">
        <v>40.9</v>
      </c>
      <c r="AE31" s="28" t="s">
        <v>104</v>
      </c>
    </row>
    <row r="32" spans="1:31" x14ac:dyDescent="0.15">
      <c r="A32" s="29">
        <v>31</v>
      </c>
      <c r="B32" s="31" t="s">
        <v>147</v>
      </c>
      <c r="C32" s="35">
        <v>45434</v>
      </c>
      <c r="D32" s="28">
        <v>38.6</v>
      </c>
      <c r="E32" s="28" t="s">
        <v>104</v>
      </c>
      <c r="F32" s="28" t="s">
        <v>104</v>
      </c>
      <c r="G32" s="28" t="s">
        <v>104</v>
      </c>
      <c r="H32" s="28" t="s">
        <v>104</v>
      </c>
      <c r="I32" s="28" t="s">
        <v>104</v>
      </c>
      <c r="J32" s="28">
        <v>41.3</v>
      </c>
      <c r="K32" s="28" t="s">
        <v>104</v>
      </c>
      <c r="L32" s="28" t="s">
        <v>104</v>
      </c>
      <c r="M32" s="28" t="s">
        <v>104</v>
      </c>
      <c r="N32" s="28">
        <v>38.9</v>
      </c>
      <c r="O32" s="28" t="s">
        <v>104</v>
      </c>
      <c r="P32" s="28">
        <v>38.299999999999997</v>
      </c>
      <c r="Q32" s="28" t="s">
        <v>104</v>
      </c>
      <c r="R32" s="28" t="s">
        <v>104</v>
      </c>
      <c r="S32" s="28" t="s">
        <v>104</v>
      </c>
      <c r="T32" s="28" t="s">
        <v>104</v>
      </c>
      <c r="U32" s="28" t="s">
        <v>104</v>
      </c>
      <c r="V32" s="28" t="s">
        <v>104</v>
      </c>
      <c r="W32" s="28" t="s">
        <v>104</v>
      </c>
      <c r="X32" s="28">
        <v>42.3</v>
      </c>
      <c r="Y32" s="28" t="s">
        <v>104</v>
      </c>
      <c r="Z32" s="28" t="s">
        <v>104</v>
      </c>
      <c r="AA32" s="28" t="s">
        <v>104</v>
      </c>
      <c r="AB32" s="28" t="s">
        <v>104</v>
      </c>
      <c r="AC32" s="28" t="s">
        <v>104</v>
      </c>
      <c r="AD32" s="28">
        <v>40.5</v>
      </c>
      <c r="AE32" s="28" t="s">
        <v>104</v>
      </c>
    </row>
    <row r="33" spans="1:31" x14ac:dyDescent="0.15">
      <c r="A33" s="29">
        <v>32</v>
      </c>
      <c r="B33" s="31" t="s">
        <v>148</v>
      </c>
      <c r="C33" s="35">
        <v>45438</v>
      </c>
      <c r="D33" s="28" t="s">
        <v>104</v>
      </c>
      <c r="E33" s="28" t="s">
        <v>172</v>
      </c>
      <c r="F33" s="28" t="s">
        <v>104</v>
      </c>
      <c r="G33" s="28" t="s">
        <v>104</v>
      </c>
      <c r="H33" s="28" t="s">
        <v>104</v>
      </c>
      <c r="I33" s="28" t="s">
        <v>104</v>
      </c>
      <c r="J33" s="28" t="s">
        <v>104</v>
      </c>
      <c r="K33" s="28" t="s">
        <v>104</v>
      </c>
      <c r="L33" s="28" t="s">
        <v>104</v>
      </c>
      <c r="M33" s="28" t="s">
        <v>104</v>
      </c>
      <c r="N33" s="28" t="s">
        <v>104</v>
      </c>
      <c r="O33" s="28" t="s">
        <v>104</v>
      </c>
      <c r="P33" s="28" t="s">
        <v>104</v>
      </c>
      <c r="Q33" s="28" t="s">
        <v>104</v>
      </c>
      <c r="R33" s="28" t="s">
        <v>104</v>
      </c>
      <c r="S33" s="28" t="s">
        <v>104</v>
      </c>
      <c r="T33" s="28">
        <v>41.2</v>
      </c>
      <c r="U33" s="28" t="s">
        <v>104</v>
      </c>
      <c r="V33" s="28" t="s">
        <v>104</v>
      </c>
      <c r="W33" s="28" t="s">
        <v>104</v>
      </c>
      <c r="X33" s="28" t="s">
        <v>104</v>
      </c>
      <c r="Y33" s="28" t="s">
        <v>104</v>
      </c>
      <c r="Z33" s="28">
        <v>41.7</v>
      </c>
      <c r="AA33" s="28" t="s">
        <v>104</v>
      </c>
      <c r="AB33" s="28" t="s">
        <v>104</v>
      </c>
      <c r="AC33" s="28" t="s">
        <v>104</v>
      </c>
      <c r="AD33" s="28" t="s">
        <v>104</v>
      </c>
      <c r="AE33" s="28" t="s">
        <v>104</v>
      </c>
    </row>
    <row r="34" spans="1:31" x14ac:dyDescent="0.15">
      <c r="A34" s="29">
        <v>33</v>
      </c>
      <c r="B34" s="31" t="s">
        <v>149</v>
      </c>
      <c r="C34" s="35">
        <v>45441</v>
      </c>
      <c r="D34" s="28">
        <v>37.200000000000003</v>
      </c>
      <c r="E34" s="28" t="s">
        <v>104</v>
      </c>
      <c r="F34" s="28" t="s">
        <v>104</v>
      </c>
      <c r="G34" s="28" t="s">
        <v>104</v>
      </c>
      <c r="H34" s="28" t="s">
        <v>104</v>
      </c>
      <c r="I34" s="28" t="s">
        <v>104</v>
      </c>
      <c r="J34" s="28" t="s">
        <v>104</v>
      </c>
      <c r="K34" s="28" t="s">
        <v>104</v>
      </c>
      <c r="L34" s="28" t="s">
        <v>104</v>
      </c>
      <c r="M34" s="28" t="s">
        <v>104</v>
      </c>
      <c r="N34" s="28" t="s">
        <v>104</v>
      </c>
      <c r="O34" s="28">
        <v>42.3</v>
      </c>
      <c r="P34" s="28" t="s">
        <v>104</v>
      </c>
      <c r="Q34" s="28" t="s">
        <v>104</v>
      </c>
      <c r="R34" s="28" t="s">
        <v>104</v>
      </c>
      <c r="S34" s="28" t="s">
        <v>104</v>
      </c>
      <c r="T34" s="28">
        <v>40.9</v>
      </c>
      <c r="U34" s="28" t="s">
        <v>104</v>
      </c>
      <c r="V34" s="28" t="s">
        <v>104</v>
      </c>
      <c r="W34" s="28" t="s">
        <v>104</v>
      </c>
      <c r="X34" s="28" t="s">
        <v>104</v>
      </c>
      <c r="Y34" s="28" t="s">
        <v>104</v>
      </c>
      <c r="Z34" s="28">
        <v>38.6</v>
      </c>
      <c r="AA34" s="28" t="s">
        <v>104</v>
      </c>
      <c r="AB34" s="28" t="s">
        <v>104</v>
      </c>
      <c r="AC34" s="28" t="s">
        <v>104</v>
      </c>
      <c r="AD34" s="28" t="s">
        <v>104</v>
      </c>
      <c r="AE34" s="28" t="s">
        <v>104</v>
      </c>
    </row>
    <row r="35" spans="1:31" x14ac:dyDescent="0.15">
      <c r="A35" s="29">
        <v>34</v>
      </c>
      <c r="B35" s="31" t="s">
        <v>150</v>
      </c>
      <c r="C35" s="35">
        <v>45448</v>
      </c>
      <c r="D35" s="28">
        <v>40.1</v>
      </c>
      <c r="E35" s="28" t="s">
        <v>104</v>
      </c>
      <c r="F35" s="28" t="s">
        <v>104</v>
      </c>
      <c r="G35" s="28" t="s">
        <v>104</v>
      </c>
      <c r="H35" s="28" t="s">
        <v>104</v>
      </c>
      <c r="I35" s="28" t="s">
        <v>104</v>
      </c>
      <c r="J35" s="28" t="s">
        <v>104</v>
      </c>
      <c r="K35" s="28" t="s">
        <v>104</v>
      </c>
      <c r="L35" s="28" t="s">
        <v>104</v>
      </c>
      <c r="M35" s="28" t="s">
        <v>104</v>
      </c>
      <c r="N35" s="28" t="s">
        <v>104</v>
      </c>
      <c r="O35" s="28">
        <v>40.200000000000003</v>
      </c>
      <c r="P35" s="28" t="s">
        <v>104</v>
      </c>
      <c r="Q35" s="28" t="s">
        <v>104</v>
      </c>
      <c r="R35" s="28" t="s">
        <v>104</v>
      </c>
      <c r="S35" s="28" t="s">
        <v>104</v>
      </c>
      <c r="T35" s="28" t="s">
        <v>104</v>
      </c>
      <c r="U35" s="28" t="s">
        <v>104</v>
      </c>
      <c r="V35" s="28" t="s">
        <v>104</v>
      </c>
      <c r="W35" s="28" t="s">
        <v>104</v>
      </c>
      <c r="X35" s="28" t="s">
        <v>104</v>
      </c>
      <c r="Y35" s="28" t="s">
        <v>104</v>
      </c>
      <c r="Z35" s="28">
        <v>37.4</v>
      </c>
      <c r="AA35" s="28">
        <v>39.700000000000003</v>
      </c>
      <c r="AB35" s="28" t="s">
        <v>104</v>
      </c>
      <c r="AC35" s="28" t="s">
        <v>104</v>
      </c>
      <c r="AD35" s="28" t="s">
        <v>104</v>
      </c>
      <c r="AE35" s="28" t="s">
        <v>104</v>
      </c>
    </row>
    <row r="36" spans="1:31" x14ac:dyDescent="0.15">
      <c r="A36" s="29">
        <v>35</v>
      </c>
      <c r="B36" s="31" t="s">
        <v>151</v>
      </c>
      <c r="C36" s="35">
        <v>45452</v>
      </c>
      <c r="D36" s="28" t="s">
        <v>104</v>
      </c>
      <c r="E36" s="28" t="s">
        <v>104</v>
      </c>
      <c r="F36" s="28" t="s">
        <v>104</v>
      </c>
      <c r="G36" s="28" t="s">
        <v>104</v>
      </c>
      <c r="H36" s="28" t="s">
        <v>104</v>
      </c>
      <c r="I36" s="28" t="s">
        <v>104</v>
      </c>
      <c r="J36" s="28" t="s">
        <v>104</v>
      </c>
      <c r="K36" s="28" t="s">
        <v>104</v>
      </c>
      <c r="L36" s="28" t="s">
        <v>104</v>
      </c>
      <c r="M36" s="28" t="s">
        <v>104</v>
      </c>
      <c r="N36" s="28" t="s">
        <v>104</v>
      </c>
      <c r="O36" s="28" t="s">
        <v>104</v>
      </c>
      <c r="P36" s="28" t="s">
        <v>104</v>
      </c>
      <c r="Q36" s="28" t="s">
        <v>104</v>
      </c>
      <c r="R36" s="28" t="s">
        <v>104</v>
      </c>
      <c r="S36" s="28" t="s">
        <v>104</v>
      </c>
      <c r="T36" s="28">
        <v>40.200000000000003</v>
      </c>
      <c r="U36" s="28" t="s">
        <v>104</v>
      </c>
      <c r="V36" s="28">
        <v>41.5</v>
      </c>
      <c r="W36" s="28" t="s">
        <v>104</v>
      </c>
      <c r="X36" s="28" t="s">
        <v>104</v>
      </c>
      <c r="Y36" s="28" t="s">
        <v>104</v>
      </c>
      <c r="Z36" s="28" t="s">
        <v>104</v>
      </c>
      <c r="AA36" s="28" t="s">
        <v>104</v>
      </c>
      <c r="AB36" s="28" t="s">
        <v>104</v>
      </c>
      <c r="AC36" s="28" t="s">
        <v>104</v>
      </c>
      <c r="AD36" s="28" t="s">
        <v>104</v>
      </c>
      <c r="AE36" s="28" t="s">
        <v>104</v>
      </c>
    </row>
    <row r="37" spans="1:31" x14ac:dyDescent="0.15">
      <c r="A37" s="29">
        <v>36</v>
      </c>
      <c r="B37" s="31" t="s">
        <v>152</v>
      </c>
      <c r="C37" s="35">
        <v>45455</v>
      </c>
      <c r="D37" s="28" t="s">
        <v>104</v>
      </c>
      <c r="E37" s="28" t="s">
        <v>104</v>
      </c>
      <c r="F37" s="28" t="s">
        <v>104</v>
      </c>
      <c r="G37" s="28" t="s">
        <v>104</v>
      </c>
      <c r="H37" s="28" t="s">
        <v>104</v>
      </c>
      <c r="I37" s="28" t="s">
        <v>104</v>
      </c>
      <c r="J37" s="28" t="s">
        <v>104</v>
      </c>
      <c r="K37" s="28" t="s">
        <v>104</v>
      </c>
      <c r="L37" s="28">
        <v>39.6</v>
      </c>
      <c r="M37" s="28" t="s">
        <v>104</v>
      </c>
      <c r="N37" s="28">
        <v>33.700000000000003</v>
      </c>
      <c r="O37" s="28" t="s">
        <v>104</v>
      </c>
      <c r="P37" s="28" t="s">
        <v>104</v>
      </c>
      <c r="Q37" s="28" t="s">
        <v>104</v>
      </c>
      <c r="R37" s="28" t="s">
        <v>104</v>
      </c>
      <c r="S37" s="28" t="s">
        <v>104</v>
      </c>
      <c r="T37" s="28">
        <v>38.5</v>
      </c>
      <c r="U37" s="28" t="s">
        <v>104</v>
      </c>
      <c r="V37" s="28" t="s">
        <v>104</v>
      </c>
      <c r="W37" s="28" t="s">
        <v>104</v>
      </c>
      <c r="X37" s="28">
        <v>42</v>
      </c>
      <c r="Y37" s="28" t="s">
        <v>104</v>
      </c>
      <c r="Z37" s="28">
        <v>42.3</v>
      </c>
      <c r="AA37" s="28" t="s">
        <v>104</v>
      </c>
      <c r="AB37" s="28" t="s">
        <v>104</v>
      </c>
      <c r="AC37" s="28" t="s">
        <v>104</v>
      </c>
      <c r="AD37" s="28" t="s">
        <v>104</v>
      </c>
      <c r="AE37" s="28" t="s">
        <v>104</v>
      </c>
    </row>
    <row r="38" spans="1:31" x14ac:dyDescent="0.15">
      <c r="A38" s="29">
        <v>37</v>
      </c>
      <c r="B38" s="31" t="s">
        <v>153</v>
      </c>
      <c r="C38" s="35">
        <v>45459</v>
      </c>
      <c r="D38" s="28">
        <v>38.9</v>
      </c>
      <c r="E38" s="28" t="s">
        <v>104</v>
      </c>
      <c r="F38" s="28" t="s">
        <v>104</v>
      </c>
      <c r="G38" s="28" t="s">
        <v>104</v>
      </c>
      <c r="H38" s="28" t="s">
        <v>104</v>
      </c>
      <c r="I38" s="28" t="s">
        <v>104</v>
      </c>
      <c r="J38" s="28" t="s">
        <v>104</v>
      </c>
      <c r="K38" s="28" t="s">
        <v>104</v>
      </c>
      <c r="L38" s="28" t="s">
        <v>104</v>
      </c>
      <c r="M38" s="28" t="s">
        <v>104</v>
      </c>
      <c r="N38" s="28" t="s">
        <v>104</v>
      </c>
      <c r="O38" s="28" t="s">
        <v>104</v>
      </c>
      <c r="P38" s="28">
        <v>41</v>
      </c>
      <c r="Q38" s="28" t="s">
        <v>104</v>
      </c>
      <c r="R38" s="28" t="s">
        <v>104</v>
      </c>
      <c r="S38" s="28" t="s">
        <v>104</v>
      </c>
      <c r="T38" s="28" t="s">
        <v>104</v>
      </c>
      <c r="U38" s="28" t="s">
        <v>104</v>
      </c>
      <c r="V38" s="28" t="s">
        <v>104</v>
      </c>
      <c r="W38" s="28" t="s">
        <v>104</v>
      </c>
      <c r="X38" s="28" t="s">
        <v>104</v>
      </c>
      <c r="Y38" s="28" t="s">
        <v>104</v>
      </c>
      <c r="Z38" s="28">
        <v>39.9</v>
      </c>
      <c r="AA38" s="28" t="s">
        <v>104</v>
      </c>
      <c r="AB38" s="28" t="s">
        <v>104</v>
      </c>
      <c r="AC38" s="28" t="s">
        <v>104</v>
      </c>
      <c r="AD38" s="28" t="s">
        <v>104</v>
      </c>
      <c r="AE38" s="28" t="s">
        <v>104</v>
      </c>
    </row>
    <row r="39" spans="1:31" x14ac:dyDescent="0.15">
      <c r="A39" s="29">
        <v>38</v>
      </c>
      <c r="B39" s="34" t="s">
        <v>21</v>
      </c>
      <c r="C39" s="35">
        <v>45462</v>
      </c>
      <c r="D39" s="28" t="s">
        <v>104</v>
      </c>
      <c r="E39" s="28" t="s">
        <v>104</v>
      </c>
      <c r="F39" s="28" t="s">
        <v>104</v>
      </c>
      <c r="G39" s="28" t="s">
        <v>104</v>
      </c>
      <c r="H39" s="28" t="s">
        <v>104</v>
      </c>
      <c r="I39" s="28" t="s">
        <v>104</v>
      </c>
      <c r="J39" s="28" t="s">
        <v>104</v>
      </c>
      <c r="K39" s="28" t="s">
        <v>104</v>
      </c>
      <c r="L39" s="28" t="s">
        <v>104</v>
      </c>
      <c r="M39" s="28" t="s">
        <v>104</v>
      </c>
      <c r="N39" s="28" t="s">
        <v>104</v>
      </c>
      <c r="O39" s="28" t="s">
        <v>104</v>
      </c>
      <c r="P39" s="28" t="s">
        <v>104</v>
      </c>
      <c r="Q39" s="28" t="s">
        <v>104</v>
      </c>
      <c r="R39" s="28" t="s">
        <v>104</v>
      </c>
      <c r="S39" s="28" t="s">
        <v>104</v>
      </c>
      <c r="T39" s="28" t="s">
        <v>104</v>
      </c>
      <c r="U39" s="28" t="s">
        <v>104</v>
      </c>
      <c r="V39" s="28" t="s">
        <v>104</v>
      </c>
      <c r="W39" s="28" t="s">
        <v>104</v>
      </c>
      <c r="X39" s="28" t="s">
        <v>104</v>
      </c>
      <c r="Y39" s="28" t="s">
        <v>104</v>
      </c>
      <c r="Z39" s="28">
        <v>37.4</v>
      </c>
      <c r="AA39" s="28" t="s">
        <v>104</v>
      </c>
      <c r="AB39" s="28" t="s">
        <v>104</v>
      </c>
      <c r="AC39" s="28" t="s">
        <v>104</v>
      </c>
      <c r="AD39" s="28">
        <v>41.3</v>
      </c>
      <c r="AE39" s="28" t="s">
        <v>104</v>
      </c>
    </row>
    <row r="40" spans="1:31" x14ac:dyDescent="0.15">
      <c r="A40" s="29">
        <v>39</v>
      </c>
      <c r="B40" s="34" t="s">
        <v>22</v>
      </c>
      <c r="C40" s="35">
        <v>45466</v>
      </c>
      <c r="D40" s="28">
        <v>39.5</v>
      </c>
      <c r="E40" s="28" t="s">
        <v>104</v>
      </c>
      <c r="F40" s="28" t="s">
        <v>104</v>
      </c>
      <c r="G40" s="28" t="s">
        <v>104</v>
      </c>
      <c r="H40" s="28" t="s">
        <v>104</v>
      </c>
      <c r="I40" s="28" t="s">
        <v>104</v>
      </c>
      <c r="J40" s="28" t="s">
        <v>104</v>
      </c>
      <c r="K40" s="28" t="s">
        <v>104</v>
      </c>
      <c r="L40" s="28" t="s">
        <v>104</v>
      </c>
      <c r="M40" s="28" t="s">
        <v>104</v>
      </c>
      <c r="N40" s="28" t="s">
        <v>104</v>
      </c>
      <c r="O40" s="28" t="s">
        <v>104</v>
      </c>
      <c r="P40" s="28" t="s">
        <v>104</v>
      </c>
      <c r="Q40" s="28" t="s">
        <v>104</v>
      </c>
      <c r="R40" s="28" t="s">
        <v>104</v>
      </c>
      <c r="S40" s="28" t="s">
        <v>104</v>
      </c>
      <c r="T40" s="28">
        <v>39.799999999999997</v>
      </c>
      <c r="U40" s="28" t="s">
        <v>104</v>
      </c>
      <c r="V40" s="28" t="s">
        <v>104</v>
      </c>
      <c r="W40" s="28" t="s">
        <v>104</v>
      </c>
      <c r="X40" s="28" t="s">
        <v>104</v>
      </c>
      <c r="Y40" s="28" t="s">
        <v>104</v>
      </c>
      <c r="Z40" s="28">
        <v>38.6</v>
      </c>
      <c r="AA40" s="28" t="s">
        <v>104</v>
      </c>
      <c r="AB40" s="28" t="s">
        <v>104</v>
      </c>
      <c r="AC40" s="28" t="s">
        <v>104</v>
      </c>
      <c r="AD40" s="28" t="s">
        <v>104</v>
      </c>
      <c r="AE40" s="28" t="s">
        <v>104</v>
      </c>
    </row>
    <row r="41" spans="1:31" x14ac:dyDescent="0.15">
      <c r="A41" s="29">
        <v>40</v>
      </c>
      <c r="B41" s="31" t="s">
        <v>154</v>
      </c>
      <c r="C41" s="35">
        <v>45469</v>
      </c>
      <c r="D41" s="28">
        <v>38.9</v>
      </c>
      <c r="E41" s="28" t="s">
        <v>104</v>
      </c>
      <c r="F41" s="28" t="s">
        <v>104</v>
      </c>
      <c r="G41" s="28" t="s">
        <v>104</v>
      </c>
      <c r="H41" s="28" t="s">
        <v>104</v>
      </c>
      <c r="I41" s="28" t="s">
        <v>104</v>
      </c>
      <c r="J41" s="28" t="s">
        <v>104</v>
      </c>
      <c r="K41" s="28" t="s">
        <v>104</v>
      </c>
      <c r="L41" s="28" t="s">
        <v>104</v>
      </c>
      <c r="M41" s="28" t="s">
        <v>104</v>
      </c>
      <c r="N41" s="28">
        <v>41.6</v>
      </c>
      <c r="O41" s="28">
        <v>41.9</v>
      </c>
      <c r="P41" s="28" t="s">
        <v>104</v>
      </c>
      <c r="Q41" s="28" t="s">
        <v>104</v>
      </c>
      <c r="R41" s="28" t="s">
        <v>104</v>
      </c>
      <c r="S41" s="28" t="s">
        <v>104</v>
      </c>
      <c r="T41" s="28">
        <v>38.200000000000003</v>
      </c>
      <c r="U41" s="28" t="s">
        <v>104</v>
      </c>
      <c r="V41" s="28">
        <v>28.2</v>
      </c>
      <c r="W41" s="28" t="s">
        <v>104</v>
      </c>
      <c r="X41" s="28" t="s">
        <v>104</v>
      </c>
      <c r="Y41" s="28" t="s">
        <v>104</v>
      </c>
      <c r="Z41" s="28">
        <v>36.200000000000003</v>
      </c>
      <c r="AA41" s="28" t="s">
        <v>104</v>
      </c>
      <c r="AB41" s="28" t="s">
        <v>104</v>
      </c>
      <c r="AC41" s="28" t="s">
        <v>104</v>
      </c>
      <c r="AD41" s="28" t="s">
        <v>104</v>
      </c>
      <c r="AE41" s="28" t="s">
        <v>104</v>
      </c>
    </row>
    <row r="42" spans="1:31" x14ac:dyDescent="0.15">
      <c r="A42" s="29">
        <v>41</v>
      </c>
      <c r="B42" s="34" t="s">
        <v>23</v>
      </c>
      <c r="C42" s="35">
        <v>45473</v>
      </c>
      <c r="D42" s="28">
        <v>39</v>
      </c>
      <c r="E42" s="28" t="s">
        <v>104</v>
      </c>
      <c r="F42" s="28" t="s">
        <v>104</v>
      </c>
      <c r="G42" s="28" t="s">
        <v>104</v>
      </c>
      <c r="H42" s="28" t="s">
        <v>104</v>
      </c>
      <c r="I42" s="28" t="s">
        <v>104</v>
      </c>
      <c r="J42" s="28" t="s">
        <v>104</v>
      </c>
      <c r="K42" s="28" t="s">
        <v>104</v>
      </c>
      <c r="L42" s="28" t="s">
        <v>104</v>
      </c>
      <c r="M42" s="28" t="s">
        <v>104</v>
      </c>
      <c r="N42" s="28" t="s">
        <v>104</v>
      </c>
      <c r="O42" s="28" t="s">
        <v>104</v>
      </c>
      <c r="P42" s="28" t="s">
        <v>104</v>
      </c>
      <c r="Q42" s="28" t="s">
        <v>104</v>
      </c>
      <c r="R42" s="28" t="s">
        <v>104</v>
      </c>
      <c r="S42" s="28" t="s">
        <v>104</v>
      </c>
      <c r="T42" s="28">
        <v>41.2</v>
      </c>
      <c r="U42" s="28" t="s">
        <v>104</v>
      </c>
      <c r="V42" s="28">
        <v>42.3</v>
      </c>
      <c r="W42" s="28" t="s">
        <v>104</v>
      </c>
      <c r="X42" s="28" t="s">
        <v>104</v>
      </c>
      <c r="Y42" s="28" t="s">
        <v>104</v>
      </c>
      <c r="Z42" s="28">
        <v>40.5</v>
      </c>
      <c r="AA42" s="28" t="s">
        <v>104</v>
      </c>
      <c r="AB42" s="28" t="s">
        <v>104</v>
      </c>
      <c r="AC42" s="28" t="s">
        <v>104</v>
      </c>
      <c r="AD42" s="28">
        <v>40.299999999999997</v>
      </c>
      <c r="AE42" s="28" t="s">
        <v>104</v>
      </c>
    </row>
    <row r="43" spans="1:31" x14ac:dyDescent="0.15">
      <c r="A43" s="29">
        <v>42</v>
      </c>
      <c r="B43" s="34" t="s">
        <v>24</v>
      </c>
      <c r="C43" s="36" t="s">
        <v>25</v>
      </c>
      <c r="D43" s="28">
        <v>39.700000000000003</v>
      </c>
      <c r="E43" s="28">
        <v>39.9</v>
      </c>
      <c r="F43" s="28" t="s">
        <v>104</v>
      </c>
      <c r="G43" s="28" t="s">
        <v>104</v>
      </c>
      <c r="H43" s="28" t="s">
        <v>104</v>
      </c>
      <c r="I43" s="28" t="s">
        <v>104</v>
      </c>
      <c r="J43" s="28" t="s">
        <v>104</v>
      </c>
      <c r="K43" s="28" t="s">
        <v>104</v>
      </c>
      <c r="L43" s="28" t="s">
        <v>104</v>
      </c>
      <c r="M43" s="28" t="s">
        <v>104</v>
      </c>
      <c r="N43" s="28" t="s">
        <v>104</v>
      </c>
      <c r="O43" s="28" t="s">
        <v>104</v>
      </c>
      <c r="P43" s="28" t="s">
        <v>104</v>
      </c>
      <c r="Q43" s="28" t="s">
        <v>104</v>
      </c>
      <c r="R43" s="28" t="s">
        <v>104</v>
      </c>
      <c r="S43" s="28" t="s">
        <v>104</v>
      </c>
      <c r="T43" s="28">
        <v>40.1</v>
      </c>
      <c r="U43" s="28" t="s">
        <v>104</v>
      </c>
      <c r="V43" s="28" t="s">
        <v>104</v>
      </c>
      <c r="W43" s="28" t="s">
        <v>104</v>
      </c>
      <c r="X43" s="28" t="s">
        <v>104</v>
      </c>
      <c r="Y43" s="28" t="s">
        <v>104</v>
      </c>
      <c r="Z43" s="28">
        <v>37.9</v>
      </c>
      <c r="AA43" s="28" t="s">
        <v>104</v>
      </c>
      <c r="AB43" s="28" t="s">
        <v>104</v>
      </c>
      <c r="AC43" s="28" t="s">
        <v>104</v>
      </c>
      <c r="AD43" s="28" t="s">
        <v>104</v>
      </c>
      <c r="AE43" s="28" t="s">
        <v>104</v>
      </c>
    </row>
    <row r="44" spans="1:31" x14ac:dyDescent="0.15">
      <c r="A44" s="29">
        <v>43</v>
      </c>
      <c r="B44" s="34" t="s">
        <v>26</v>
      </c>
      <c r="C44" s="37">
        <v>45480</v>
      </c>
      <c r="D44" s="28" t="s">
        <v>104</v>
      </c>
      <c r="E44" s="28" t="s">
        <v>104</v>
      </c>
      <c r="F44" s="28" t="s">
        <v>104</v>
      </c>
      <c r="G44" s="28" t="s">
        <v>104</v>
      </c>
      <c r="H44" s="28" t="s">
        <v>104</v>
      </c>
      <c r="I44" s="28" t="s">
        <v>104</v>
      </c>
      <c r="J44" s="28" t="s">
        <v>104</v>
      </c>
      <c r="K44" s="28" t="s">
        <v>104</v>
      </c>
      <c r="L44" s="28" t="s">
        <v>104</v>
      </c>
      <c r="M44" s="28" t="s">
        <v>104</v>
      </c>
      <c r="N44" s="28" t="s">
        <v>104</v>
      </c>
      <c r="O44" s="28" t="s">
        <v>104</v>
      </c>
      <c r="P44" s="28" t="s">
        <v>104</v>
      </c>
      <c r="Q44" s="28" t="s">
        <v>104</v>
      </c>
      <c r="R44" s="28" t="s">
        <v>104</v>
      </c>
      <c r="S44" s="28" t="s">
        <v>104</v>
      </c>
      <c r="T44" s="28">
        <v>41.9</v>
      </c>
      <c r="U44" s="28" t="s">
        <v>104</v>
      </c>
      <c r="V44" s="28">
        <v>42.4</v>
      </c>
      <c r="W44" s="28" t="s">
        <v>104</v>
      </c>
      <c r="X44" s="28" t="s">
        <v>104</v>
      </c>
      <c r="Y44" s="28" t="s">
        <v>104</v>
      </c>
      <c r="Z44" s="28">
        <v>38.200000000000003</v>
      </c>
      <c r="AA44" s="28" t="s">
        <v>104</v>
      </c>
      <c r="AB44" s="28" t="s">
        <v>104</v>
      </c>
      <c r="AC44" s="28" t="s">
        <v>104</v>
      </c>
      <c r="AD44" s="28" t="s">
        <v>104</v>
      </c>
      <c r="AE44" s="28" t="s">
        <v>104</v>
      </c>
    </row>
    <row r="45" spans="1:31" x14ac:dyDescent="0.15">
      <c r="A45" s="29">
        <v>44</v>
      </c>
      <c r="B45" s="34" t="s">
        <v>27</v>
      </c>
      <c r="C45" s="37">
        <v>45483</v>
      </c>
      <c r="D45" s="28">
        <v>40.200000000000003</v>
      </c>
      <c r="E45" s="28" t="s">
        <v>104</v>
      </c>
      <c r="F45" s="28" t="s">
        <v>104</v>
      </c>
      <c r="G45" s="28" t="s">
        <v>104</v>
      </c>
      <c r="H45" s="28" t="s">
        <v>104</v>
      </c>
      <c r="I45" s="28" t="s">
        <v>104</v>
      </c>
      <c r="J45" s="28" t="s">
        <v>104</v>
      </c>
      <c r="K45" s="28" t="s">
        <v>104</v>
      </c>
      <c r="L45" s="28" t="s">
        <v>104</v>
      </c>
      <c r="M45" s="28" t="s">
        <v>104</v>
      </c>
      <c r="N45" s="28" t="s">
        <v>104</v>
      </c>
      <c r="O45" s="28" t="s">
        <v>104</v>
      </c>
      <c r="P45" s="28" t="s">
        <v>104</v>
      </c>
      <c r="Q45" s="28" t="s">
        <v>104</v>
      </c>
      <c r="R45" s="28" t="s">
        <v>104</v>
      </c>
      <c r="S45" s="28">
        <v>41.3</v>
      </c>
      <c r="T45" s="28">
        <v>40.4</v>
      </c>
      <c r="U45" s="28" t="s">
        <v>104</v>
      </c>
      <c r="V45" s="28">
        <v>41.7</v>
      </c>
      <c r="W45" s="28" t="s">
        <v>104</v>
      </c>
      <c r="X45" s="28" t="s">
        <v>104</v>
      </c>
      <c r="Y45" s="28" t="s">
        <v>104</v>
      </c>
      <c r="Z45" s="28">
        <v>39.700000000000003</v>
      </c>
      <c r="AA45" s="28" t="s">
        <v>104</v>
      </c>
      <c r="AB45" s="28" t="s">
        <v>104</v>
      </c>
      <c r="AC45" s="28" t="s">
        <v>104</v>
      </c>
      <c r="AD45" s="28" t="s">
        <v>104</v>
      </c>
      <c r="AE45" s="28" t="s">
        <v>104</v>
      </c>
    </row>
    <row r="46" spans="1:31" x14ac:dyDescent="0.15">
      <c r="A46" s="29">
        <v>45</v>
      </c>
      <c r="B46" s="34" t="s">
        <v>28</v>
      </c>
      <c r="C46" s="37">
        <v>45484</v>
      </c>
      <c r="D46" s="28" t="s">
        <v>104</v>
      </c>
      <c r="E46" s="28" t="s">
        <v>104</v>
      </c>
      <c r="F46" s="28" t="s">
        <v>104</v>
      </c>
      <c r="G46" s="28" t="s">
        <v>104</v>
      </c>
      <c r="H46" s="28" t="s">
        <v>104</v>
      </c>
      <c r="I46" s="28" t="s">
        <v>104</v>
      </c>
      <c r="J46" s="28" t="s">
        <v>104</v>
      </c>
      <c r="K46" s="28" t="s">
        <v>104</v>
      </c>
      <c r="L46" s="28" t="s">
        <v>104</v>
      </c>
      <c r="M46" s="28" t="s">
        <v>104</v>
      </c>
      <c r="N46" s="28" t="s">
        <v>104</v>
      </c>
      <c r="O46" s="28" t="s">
        <v>104</v>
      </c>
      <c r="P46" s="28" t="s">
        <v>104</v>
      </c>
      <c r="Q46" s="28" t="s">
        <v>104</v>
      </c>
      <c r="R46" s="28" t="s">
        <v>104</v>
      </c>
      <c r="S46" s="28" t="s">
        <v>104</v>
      </c>
      <c r="T46" s="28">
        <v>30.8</v>
      </c>
      <c r="U46" s="28" t="s">
        <v>104</v>
      </c>
      <c r="V46" s="28" t="s">
        <v>104</v>
      </c>
      <c r="W46" s="28" t="s">
        <v>104</v>
      </c>
      <c r="X46" s="28" t="s">
        <v>104</v>
      </c>
      <c r="Y46" s="28" t="s">
        <v>104</v>
      </c>
      <c r="Z46" s="28">
        <v>39.9</v>
      </c>
      <c r="AA46" s="28" t="s">
        <v>104</v>
      </c>
      <c r="AB46" s="28" t="s">
        <v>104</v>
      </c>
      <c r="AC46" s="28" t="s">
        <v>104</v>
      </c>
      <c r="AD46" s="28">
        <v>39</v>
      </c>
      <c r="AE46" s="28" t="s">
        <v>104</v>
      </c>
    </row>
    <row r="47" spans="1:31" x14ac:dyDescent="0.15">
      <c r="A47" s="29">
        <v>46</v>
      </c>
      <c r="B47" s="34" t="s">
        <v>29</v>
      </c>
      <c r="C47" s="37">
        <v>45490</v>
      </c>
      <c r="D47" s="28">
        <v>39.799999999999997</v>
      </c>
      <c r="E47" s="28" t="s">
        <v>104</v>
      </c>
      <c r="F47" s="28" t="s">
        <v>104</v>
      </c>
      <c r="G47" s="28" t="s">
        <v>104</v>
      </c>
      <c r="H47" s="28" t="s">
        <v>104</v>
      </c>
      <c r="I47" s="28" t="s">
        <v>104</v>
      </c>
      <c r="J47" s="28" t="s">
        <v>104</v>
      </c>
      <c r="K47" s="28" t="s">
        <v>104</v>
      </c>
      <c r="L47" s="28">
        <v>42.3</v>
      </c>
      <c r="M47" s="28" t="s">
        <v>104</v>
      </c>
      <c r="N47" s="28" t="s">
        <v>104</v>
      </c>
      <c r="O47" s="28" t="s">
        <v>104</v>
      </c>
      <c r="P47" s="28" t="s">
        <v>104</v>
      </c>
      <c r="Q47" s="28" t="s">
        <v>104</v>
      </c>
      <c r="R47" s="28" t="s">
        <v>104</v>
      </c>
      <c r="S47" s="28" t="s">
        <v>104</v>
      </c>
      <c r="T47" s="28" t="s">
        <v>104</v>
      </c>
      <c r="U47" s="28" t="s">
        <v>104</v>
      </c>
      <c r="V47" s="28">
        <v>40.799999999999997</v>
      </c>
      <c r="W47" s="28" t="s">
        <v>104</v>
      </c>
      <c r="X47" s="28" t="s">
        <v>104</v>
      </c>
      <c r="Y47" s="28" t="s">
        <v>104</v>
      </c>
      <c r="Z47" s="28">
        <v>39.799999999999997</v>
      </c>
      <c r="AA47" s="28" t="s">
        <v>104</v>
      </c>
      <c r="AB47" s="28" t="s">
        <v>104</v>
      </c>
      <c r="AC47" s="28" t="s">
        <v>104</v>
      </c>
      <c r="AD47" s="28" t="s">
        <v>104</v>
      </c>
      <c r="AE47" s="28" t="s">
        <v>104</v>
      </c>
    </row>
    <row r="48" spans="1:31" x14ac:dyDescent="0.15">
      <c r="A48" s="29">
        <v>47</v>
      </c>
      <c r="B48" s="34" t="s">
        <v>30</v>
      </c>
      <c r="C48" s="37">
        <v>45494</v>
      </c>
      <c r="D48" s="28" t="s">
        <v>104</v>
      </c>
      <c r="E48" s="28" t="s">
        <v>104</v>
      </c>
      <c r="F48" s="28" t="s">
        <v>104</v>
      </c>
      <c r="G48" s="28" t="s">
        <v>104</v>
      </c>
      <c r="H48" s="28" t="s">
        <v>104</v>
      </c>
      <c r="I48" s="28" t="s">
        <v>104</v>
      </c>
      <c r="J48" s="28" t="s">
        <v>104</v>
      </c>
      <c r="K48" s="28" t="s">
        <v>104</v>
      </c>
      <c r="L48" s="28" t="s">
        <v>104</v>
      </c>
      <c r="M48" s="28" t="s">
        <v>104</v>
      </c>
      <c r="N48" s="28" t="s">
        <v>104</v>
      </c>
      <c r="O48" s="28" t="s">
        <v>104</v>
      </c>
      <c r="P48" s="28" t="s">
        <v>104</v>
      </c>
      <c r="Q48" s="28" t="s">
        <v>104</v>
      </c>
      <c r="R48" s="28" t="s">
        <v>104</v>
      </c>
      <c r="S48" s="28" t="s">
        <v>104</v>
      </c>
      <c r="T48" s="28" t="s">
        <v>104</v>
      </c>
      <c r="U48" s="28" t="s">
        <v>104</v>
      </c>
      <c r="V48" s="28" t="s">
        <v>104</v>
      </c>
      <c r="W48" s="28" t="s">
        <v>104</v>
      </c>
      <c r="X48" s="28" t="s">
        <v>104</v>
      </c>
      <c r="Y48" s="28" t="s">
        <v>104</v>
      </c>
      <c r="Z48" s="28">
        <v>38.700000000000003</v>
      </c>
      <c r="AA48" s="28" t="s">
        <v>104</v>
      </c>
      <c r="AB48" s="28" t="s">
        <v>104</v>
      </c>
      <c r="AC48" s="28" t="s">
        <v>104</v>
      </c>
      <c r="AD48" s="28" t="s">
        <v>104</v>
      </c>
      <c r="AE48" s="28" t="s">
        <v>104</v>
      </c>
    </row>
    <row r="49" spans="1:32" x14ac:dyDescent="0.15">
      <c r="A49" s="29">
        <v>48</v>
      </c>
      <c r="B49" s="31" t="s">
        <v>155</v>
      </c>
      <c r="C49" s="35">
        <v>45497</v>
      </c>
      <c r="D49" s="28" t="s">
        <v>104</v>
      </c>
      <c r="E49" s="28" t="s">
        <v>104</v>
      </c>
      <c r="F49" s="28" t="s">
        <v>104</v>
      </c>
      <c r="G49" s="28" t="s">
        <v>104</v>
      </c>
      <c r="H49" s="28" t="s">
        <v>104</v>
      </c>
      <c r="I49" s="28" t="s">
        <v>104</v>
      </c>
      <c r="J49" s="28" t="s">
        <v>104</v>
      </c>
      <c r="K49" s="28" t="s">
        <v>104</v>
      </c>
      <c r="L49" s="28">
        <v>38.4</v>
      </c>
      <c r="M49" s="28" t="s">
        <v>104</v>
      </c>
      <c r="N49" s="28" t="s">
        <v>104</v>
      </c>
      <c r="O49" s="28" t="s">
        <v>104</v>
      </c>
      <c r="P49" s="28" t="s">
        <v>104</v>
      </c>
      <c r="Q49" s="28" t="s">
        <v>104</v>
      </c>
      <c r="R49" s="28" t="s">
        <v>104</v>
      </c>
      <c r="S49" s="28" t="s">
        <v>104</v>
      </c>
      <c r="T49" s="28" t="s">
        <v>104</v>
      </c>
      <c r="U49" s="28" t="s">
        <v>104</v>
      </c>
      <c r="V49" s="28" t="s">
        <v>104</v>
      </c>
      <c r="W49" s="28" t="s">
        <v>104</v>
      </c>
      <c r="X49" s="28" t="s">
        <v>104</v>
      </c>
      <c r="Y49" s="28" t="s">
        <v>104</v>
      </c>
      <c r="Z49" s="28">
        <v>40.700000000000003</v>
      </c>
      <c r="AA49" s="28" t="s">
        <v>104</v>
      </c>
      <c r="AB49" s="28" t="s">
        <v>104</v>
      </c>
      <c r="AC49" s="28" t="s">
        <v>104</v>
      </c>
      <c r="AD49" s="28" t="s">
        <v>104</v>
      </c>
      <c r="AE49" s="28" t="s">
        <v>104</v>
      </c>
    </row>
    <row r="50" spans="1:32" x14ac:dyDescent="0.15">
      <c r="A50" s="29">
        <v>49</v>
      </c>
      <c r="B50" s="34" t="s">
        <v>31</v>
      </c>
      <c r="C50" s="37">
        <v>45501</v>
      </c>
      <c r="D50" s="28">
        <v>37.200000000000003</v>
      </c>
      <c r="E50" s="28" t="s">
        <v>104</v>
      </c>
      <c r="F50" s="28" t="s">
        <v>104</v>
      </c>
      <c r="G50" s="28" t="s">
        <v>104</v>
      </c>
      <c r="H50" s="28" t="s">
        <v>104</v>
      </c>
      <c r="I50" s="28" t="s">
        <v>104</v>
      </c>
      <c r="J50" s="28" t="s">
        <v>104</v>
      </c>
      <c r="K50" s="28" t="s">
        <v>104</v>
      </c>
      <c r="L50" s="28">
        <v>40.799999999999997</v>
      </c>
      <c r="M50" s="28" t="s">
        <v>104</v>
      </c>
      <c r="N50" s="28" t="s">
        <v>104</v>
      </c>
      <c r="O50" s="28" t="s">
        <v>104</v>
      </c>
      <c r="P50" s="28" t="s">
        <v>104</v>
      </c>
      <c r="Q50" s="28" t="s">
        <v>104</v>
      </c>
      <c r="R50" s="28" t="s">
        <v>104</v>
      </c>
      <c r="S50" s="28" t="s">
        <v>104</v>
      </c>
      <c r="T50" s="28">
        <v>38.9</v>
      </c>
      <c r="U50" s="28" t="s">
        <v>104</v>
      </c>
      <c r="V50" s="28" t="s">
        <v>104</v>
      </c>
      <c r="W50" s="28" t="s">
        <v>104</v>
      </c>
      <c r="X50" s="28">
        <v>37.700000000000003</v>
      </c>
      <c r="Y50" s="28" t="s">
        <v>104</v>
      </c>
      <c r="Z50" s="28">
        <v>31.1</v>
      </c>
      <c r="AA50" s="28">
        <v>39.9</v>
      </c>
      <c r="AB50" s="28" t="s">
        <v>104</v>
      </c>
      <c r="AC50" s="28" t="s">
        <v>104</v>
      </c>
      <c r="AD50" s="28">
        <v>39.4</v>
      </c>
      <c r="AE50" s="28" t="s">
        <v>104</v>
      </c>
    </row>
    <row r="51" spans="1:32" x14ac:dyDescent="0.15">
      <c r="A51" s="29">
        <v>50</v>
      </c>
      <c r="B51" s="34" t="s">
        <v>32</v>
      </c>
      <c r="C51" s="37">
        <v>45508</v>
      </c>
      <c r="D51" s="28">
        <v>40.200000000000003</v>
      </c>
      <c r="E51" s="28" t="s">
        <v>104</v>
      </c>
      <c r="F51" s="28" t="s">
        <v>104</v>
      </c>
      <c r="G51" s="28" t="s">
        <v>104</v>
      </c>
      <c r="H51" s="28" t="s">
        <v>104</v>
      </c>
      <c r="I51" s="28" t="s">
        <v>104</v>
      </c>
      <c r="J51" s="28" t="s">
        <v>104</v>
      </c>
      <c r="K51" s="28" t="s">
        <v>104</v>
      </c>
      <c r="L51" s="28" t="s">
        <v>104</v>
      </c>
      <c r="M51" s="28" t="s">
        <v>104</v>
      </c>
      <c r="N51" s="28">
        <v>41.9</v>
      </c>
      <c r="O51" s="28" t="s">
        <v>104</v>
      </c>
      <c r="P51" s="28" t="s">
        <v>104</v>
      </c>
      <c r="Q51" s="28" t="s">
        <v>104</v>
      </c>
      <c r="R51" s="28" t="s">
        <v>104</v>
      </c>
      <c r="S51" s="28" t="s">
        <v>104</v>
      </c>
      <c r="T51" s="28">
        <v>39.200000000000003</v>
      </c>
      <c r="U51" s="28" t="s">
        <v>104</v>
      </c>
      <c r="V51" s="28" t="s">
        <v>104</v>
      </c>
      <c r="W51" s="28" t="s">
        <v>104</v>
      </c>
      <c r="X51" s="28" t="s">
        <v>104</v>
      </c>
      <c r="Y51" s="28" t="s">
        <v>104</v>
      </c>
      <c r="Z51" s="28">
        <v>41.7</v>
      </c>
      <c r="AA51" s="28" t="s">
        <v>104</v>
      </c>
      <c r="AB51" s="28" t="s">
        <v>104</v>
      </c>
      <c r="AC51" s="28" t="s">
        <v>104</v>
      </c>
      <c r="AD51" s="28" t="s">
        <v>104</v>
      </c>
      <c r="AE51" s="28" t="s">
        <v>104</v>
      </c>
    </row>
    <row r="52" spans="1:32" x14ac:dyDescent="0.15">
      <c r="A52" s="29">
        <v>51</v>
      </c>
      <c r="B52" s="34" t="s">
        <v>33</v>
      </c>
      <c r="C52" s="37">
        <v>45511</v>
      </c>
      <c r="D52" s="28">
        <v>37.4</v>
      </c>
      <c r="E52" s="28" t="s">
        <v>104</v>
      </c>
      <c r="F52" s="28" t="s">
        <v>104</v>
      </c>
      <c r="G52" s="28" t="s">
        <v>104</v>
      </c>
      <c r="H52" s="28" t="s">
        <v>104</v>
      </c>
      <c r="I52" s="28" t="s">
        <v>104</v>
      </c>
      <c r="J52" s="28" t="s">
        <v>104</v>
      </c>
      <c r="K52" s="28" t="s">
        <v>104</v>
      </c>
      <c r="L52" s="28">
        <v>41.8</v>
      </c>
      <c r="M52" s="28" t="s">
        <v>104</v>
      </c>
      <c r="N52" s="28">
        <v>40.9</v>
      </c>
      <c r="O52" s="28" t="s">
        <v>104</v>
      </c>
      <c r="P52" s="28" t="s">
        <v>104</v>
      </c>
      <c r="Q52" s="28" t="s">
        <v>104</v>
      </c>
      <c r="R52" s="28" t="s">
        <v>104</v>
      </c>
      <c r="S52" s="28" t="s">
        <v>104</v>
      </c>
      <c r="T52" s="28">
        <v>40.9</v>
      </c>
      <c r="U52" s="28" t="s">
        <v>104</v>
      </c>
      <c r="V52" s="28">
        <v>41.7</v>
      </c>
      <c r="W52" s="28" t="s">
        <v>104</v>
      </c>
      <c r="X52" s="28" t="s">
        <v>104</v>
      </c>
      <c r="Y52" s="28" t="s">
        <v>104</v>
      </c>
      <c r="Z52" s="28">
        <v>37.5</v>
      </c>
      <c r="AA52" s="28" t="s">
        <v>104</v>
      </c>
      <c r="AB52" s="28" t="s">
        <v>104</v>
      </c>
      <c r="AC52" s="28" t="s">
        <v>104</v>
      </c>
      <c r="AD52" s="28">
        <v>40.4</v>
      </c>
      <c r="AE52" s="28" t="s">
        <v>104</v>
      </c>
    </row>
    <row r="53" spans="1:32" x14ac:dyDescent="0.15">
      <c r="A53" s="29">
        <v>52</v>
      </c>
      <c r="B53" s="34" t="s">
        <v>34</v>
      </c>
      <c r="C53" s="36" t="s">
        <v>35</v>
      </c>
      <c r="D53" s="28" t="s">
        <v>104</v>
      </c>
      <c r="E53" s="28" t="s">
        <v>104</v>
      </c>
      <c r="F53" s="28" t="s">
        <v>104</v>
      </c>
      <c r="G53" s="28" t="s">
        <v>104</v>
      </c>
      <c r="H53" s="28" t="s">
        <v>104</v>
      </c>
      <c r="I53" s="28" t="s">
        <v>104</v>
      </c>
      <c r="J53" s="28" t="s">
        <v>104</v>
      </c>
      <c r="K53" s="28" t="s">
        <v>104</v>
      </c>
      <c r="L53" s="28" t="s">
        <v>104</v>
      </c>
      <c r="M53" s="28" t="s">
        <v>104</v>
      </c>
      <c r="N53" s="28" t="s">
        <v>104</v>
      </c>
      <c r="O53" s="28" t="s">
        <v>104</v>
      </c>
      <c r="P53" s="28" t="s">
        <v>104</v>
      </c>
      <c r="Q53" s="28" t="s">
        <v>104</v>
      </c>
      <c r="R53" s="28" t="s">
        <v>104</v>
      </c>
      <c r="S53" s="28" t="s">
        <v>104</v>
      </c>
      <c r="T53" s="28" t="s">
        <v>104</v>
      </c>
      <c r="U53" s="28" t="s">
        <v>104</v>
      </c>
      <c r="V53" s="28" t="s">
        <v>104</v>
      </c>
      <c r="W53" s="28" t="s">
        <v>104</v>
      </c>
      <c r="X53" s="28" t="s">
        <v>104</v>
      </c>
      <c r="Y53" s="28" t="s">
        <v>104</v>
      </c>
      <c r="Z53" s="28">
        <v>42.6</v>
      </c>
      <c r="AA53" s="28" t="s">
        <v>104</v>
      </c>
      <c r="AB53" s="28">
        <v>40.799999999999997</v>
      </c>
      <c r="AC53" s="28" t="s">
        <v>104</v>
      </c>
      <c r="AD53" s="28" t="s">
        <v>104</v>
      </c>
      <c r="AE53" s="28" t="s">
        <v>104</v>
      </c>
    </row>
    <row r="54" spans="1:32" x14ac:dyDescent="0.15">
      <c r="A54" s="29">
        <v>53</v>
      </c>
      <c r="B54" s="34" t="s">
        <v>36</v>
      </c>
      <c r="C54" s="37">
        <v>45515</v>
      </c>
      <c r="D54" s="28">
        <v>41.4</v>
      </c>
      <c r="E54" s="28" t="s">
        <v>104</v>
      </c>
      <c r="F54" s="28" t="s">
        <v>104</v>
      </c>
      <c r="G54" s="28" t="s">
        <v>104</v>
      </c>
      <c r="H54" s="28" t="s">
        <v>104</v>
      </c>
      <c r="I54" s="28" t="s">
        <v>104</v>
      </c>
      <c r="J54" s="28" t="s">
        <v>104</v>
      </c>
      <c r="K54" s="28" t="s">
        <v>104</v>
      </c>
      <c r="L54" s="28" t="s">
        <v>104</v>
      </c>
      <c r="M54" s="28">
        <v>38.799999999999997</v>
      </c>
      <c r="N54" s="28" t="s">
        <v>104</v>
      </c>
      <c r="O54" s="28">
        <v>40.1</v>
      </c>
      <c r="P54" s="28" t="s">
        <v>104</v>
      </c>
      <c r="Q54" s="28" t="s">
        <v>104</v>
      </c>
      <c r="R54" s="28" t="s">
        <v>104</v>
      </c>
      <c r="S54" s="28" t="s">
        <v>104</v>
      </c>
      <c r="T54" s="28">
        <v>41</v>
      </c>
      <c r="U54" s="28" t="s">
        <v>104</v>
      </c>
      <c r="V54" s="28" t="s">
        <v>104</v>
      </c>
      <c r="W54" s="28" t="s">
        <v>104</v>
      </c>
      <c r="X54" s="28" t="s">
        <v>104</v>
      </c>
      <c r="Y54" s="28" t="s">
        <v>104</v>
      </c>
      <c r="Z54" s="28">
        <v>39.200000000000003</v>
      </c>
      <c r="AA54" s="28" t="s">
        <v>104</v>
      </c>
      <c r="AB54" s="28" t="s">
        <v>104</v>
      </c>
      <c r="AC54" s="28" t="s">
        <v>104</v>
      </c>
      <c r="AD54" s="28" t="s">
        <v>104</v>
      </c>
      <c r="AE54" s="28" t="s">
        <v>104</v>
      </c>
    </row>
    <row r="55" spans="1:32" x14ac:dyDescent="0.15">
      <c r="A55" s="29">
        <v>54</v>
      </c>
      <c r="B55" s="34" t="s">
        <v>37</v>
      </c>
      <c r="C55" s="36" t="s">
        <v>38</v>
      </c>
      <c r="D55" s="28">
        <v>39.700000000000003</v>
      </c>
      <c r="E55" s="28" t="s">
        <v>104</v>
      </c>
      <c r="F55" s="28" t="s">
        <v>104</v>
      </c>
      <c r="G55" s="28" t="s">
        <v>104</v>
      </c>
      <c r="H55" s="28" t="s">
        <v>104</v>
      </c>
      <c r="I55" s="28" t="s">
        <v>104</v>
      </c>
      <c r="J55" s="28" t="s">
        <v>104</v>
      </c>
      <c r="K55" s="28" t="s">
        <v>104</v>
      </c>
      <c r="L55" s="28" t="s">
        <v>104</v>
      </c>
      <c r="M55" s="28" t="s">
        <v>104</v>
      </c>
      <c r="N55" s="28" t="s">
        <v>104</v>
      </c>
      <c r="O55" s="28" t="s">
        <v>104</v>
      </c>
      <c r="P55" s="28" t="s">
        <v>104</v>
      </c>
      <c r="Q55" s="28" t="s">
        <v>104</v>
      </c>
      <c r="R55" s="28" t="s">
        <v>104</v>
      </c>
      <c r="S55" s="28" t="s">
        <v>104</v>
      </c>
      <c r="T55" s="28" t="s">
        <v>104</v>
      </c>
      <c r="U55" s="28" t="s">
        <v>104</v>
      </c>
      <c r="V55" s="28" t="s">
        <v>104</v>
      </c>
      <c r="W55" s="28" t="s">
        <v>104</v>
      </c>
      <c r="X55" s="28" t="s">
        <v>104</v>
      </c>
      <c r="Y55" s="28" t="s">
        <v>104</v>
      </c>
      <c r="Z55" s="28" t="s">
        <v>104</v>
      </c>
      <c r="AA55" s="28" t="s">
        <v>104</v>
      </c>
      <c r="AB55" s="28" t="s">
        <v>104</v>
      </c>
      <c r="AC55" s="28" t="s">
        <v>104</v>
      </c>
      <c r="AD55" s="28" t="s">
        <v>104</v>
      </c>
      <c r="AE55" s="28" t="s">
        <v>104</v>
      </c>
    </row>
    <row r="56" spans="1:32" x14ac:dyDescent="0.15">
      <c r="A56" s="29">
        <v>55</v>
      </c>
      <c r="B56" s="31" t="s">
        <v>39</v>
      </c>
      <c r="C56" s="35">
        <v>45525</v>
      </c>
      <c r="D56" s="28" t="s">
        <v>104</v>
      </c>
      <c r="E56" s="28" t="s">
        <v>104</v>
      </c>
      <c r="F56" s="28" t="s">
        <v>104</v>
      </c>
      <c r="G56" s="28" t="s">
        <v>104</v>
      </c>
      <c r="H56" s="28" t="s">
        <v>104</v>
      </c>
      <c r="I56" s="28" t="s">
        <v>104</v>
      </c>
      <c r="J56" s="28" t="s">
        <v>104</v>
      </c>
      <c r="K56" s="28" t="s">
        <v>104</v>
      </c>
      <c r="L56" s="28" t="s">
        <v>104</v>
      </c>
      <c r="M56" s="28" t="s">
        <v>104</v>
      </c>
      <c r="N56" s="28" t="s">
        <v>104</v>
      </c>
      <c r="O56" s="28" t="s">
        <v>104</v>
      </c>
      <c r="P56" s="28" t="s">
        <v>104</v>
      </c>
      <c r="Q56" s="28" t="s">
        <v>104</v>
      </c>
      <c r="R56" s="28" t="s">
        <v>104</v>
      </c>
      <c r="S56" s="28" t="s">
        <v>104</v>
      </c>
      <c r="T56" s="28">
        <v>41.2</v>
      </c>
      <c r="U56" s="28" t="s">
        <v>104</v>
      </c>
      <c r="V56" s="28" t="s">
        <v>104</v>
      </c>
      <c r="W56" s="28" t="s">
        <v>104</v>
      </c>
      <c r="X56" s="28" t="s">
        <v>104</v>
      </c>
      <c r="Y56" s="28" t="s">
        <v>104</v>
      </c>
      <c r="Z56" s="28">
        <v>39.299999999999997</v>
      </c>
      <c r="AA56" s="28" t="s">
        <v>104</v>
      </c>
      <c r="AB56" s="28" t="s">
        <v>104</v>
      </c>
      <c r="AC56" s="28" t="s">
        <v>104</v>
      </c>
      <c r="AD56" s="28" t="s">
        <v>104</v>
      </c>
      <c r="AE56" s="28" t="s">
        <v>104</v>
      </c>
      <c r="AF56" s="38">
        <v>66.53</v>
      </c>
    </row>
    <row r="57" spans="1:32" x14ac:dyDescent="0.15">
      <c r="A57" s="29">
        <v>56</v>
      </c>
      <c r="B57" s="34" t="s">
        <v>39</v>
      </c>
      <c r="C57" s="37">
        <v>45525</v>
      </c>
      <c r="D57" s="28">
        <v>38.5</v>
      </c>
      <c r="E57" s="28" t="s">
        <v>104</v>
      </c>
      <c r="F57" s="28">
        <v>39.5</v>
      </c>
      <c r="G57" s="28" t="s">
        <v>104</v>
      </c>
      <c r="H57" s="28" t="s">
        <v>104</v>
      </c>
      <c r="I57" s="28" t="s">
        <v>104</v>
      </c>
      <c r="J57" s="28" t="s">
        <v>104</v>
      </c>
      <c r="K57" s="28" t="s">
        <v>104</v>
      </c>
      <c r="L57" s="28" t="s">
        <v>104</v>
      </c>
      <c r="M57" s="28" t="s">
        <v>104</v>
      </c>
      <c r="N57" s="28" t="s">
        <v>104</v>
      </c>
      <c r="O57" s="28" t="s">
        <v>104</v>
      </c>
      <c r="P57" s="28" t="s">
        <v>104</v>
      </c>
      <c r="Q57" s="28" t="s">
        <v>104</v>
      </c>
      <c r="R57" s="28" t="s">
        <v>104</v>
      </c>
      <c r="S57" s="28" t="s">
        <v>104</v>
      </c>
      <c r="T57" s="28">
        <v>39.6</v>
      </c>
      <c r="U57" s="28" t="s">
        <v>104</v>
      </c>
      <c r="V57" s="28" t="s">
        <v>104</v>
      </c>
      <c r="W57" s="28" t="s">
        <v>104</v>
      </c>
      <c r="X57" s="28" t="s">
        <v>104</v>
      </c>
      <c r="Y57" s="28" t="s">
        <v>104</v>
      </c>
      <c r="Z57" s="28">
        <v>39.200000000000003</v>
      </c>
      <c r="AA57" s="28" t="s">
        <v>104</v>
      </c>
      <c r="AB57" s="28" t="s">
        <v>104</v>
      </c>
      <c r="AC57" s="28" t="s">
        <v>104</v>
      </c>
      <c r="AD57" s="28">
        <v>40.5</v>
      </c>
      <c r="AE57" s="28" t="s">
        <v>104</v>
      </c>
      <c r="AF57" s="39" t="s">
        <v>173</v>
      </c>
    </row>
    <row r="58" spans="1:32" x14ac:dyDescent="0.15">
      <c r="A58" s="29">
        <v>57</v>
      </c>
      <c r="B58" s="34" t="s">
        <v>40</v>
      </c>
      <c r="C58" s="36" t="s">
        <v>41</v>
      </c>
      <c r="D58" s="28">
        <v>39.5</v>
      </c>
      <c r="E58" s="28" t="s">
        <v>104</v>
      </c>
      <c r="F58" s="28" t="s">
        <v>104</v>
      </c>
      <c r="G58" s="28" t="s">
        <v>104</v>
      </c>
      <c r="H58" s="28" t="s">
        <v>104</v>
      </c>
      <c r="I58" s="28" t="s">
        <v>104</v>
      </c>
      <c r="J58" s="28" t="s">
        <v>104</v>
      </c>
      <c r="K58" s="28" t="s">
        <v>104</v>
      </c>
      <c r="L58" s="28">
        <v>40.700000000000003</v>
      </c>
      <c r="M58" s="28" t="s">
        <v>104</v>
      </c>
      <c r="N58" s="28" t="s">
        <v>104</v>
      </c>
      <c r="O58" s="28" t="s">
        <v>104</v>
      </c>
      <c r="P58" s="28" t="s">
        <v>104</v>
      </c>
      <c r="Q58" s="28">
        <v>39.799999999999997</v>
      </c>
      <c r="R58" s="28" t="s">
        <v>104</v>
      </c>
      <c r="S58" s="28" t="s">
        <v>104</v>
      </c>
      <c r="T58" s="28" t="s">
        <v>104</v>
      </c>
      <c r="U58" s="28" t="s">
        <v>104</v>
      </c>
      <c r="V58" s="28">
        <v>40.299999999999997</v>
      </c>
      <c r="W58" s="28" t="s">
        <v>104</v>
      </c>
      <c r="X58" s="28">
        <v>40.700000000000003</v>
      </c>
      <c r="Y58" s="28" t="s">
        <v>104</v>
      </c>
      <c r="Z58" s="28">
        <v>40.200000000000003</v>
      </c>
      <c r="AA58" s="28" t="s">
        <v>104</v>
      </c>
      <c r="AB58" s="28" t="s">
        <v>104</v>
      </c>
      <c r="AC58" s="28" t="s">
        <v>104</v>
      </c>
      <c r="AD58" s="28" t="s">
        <v>104</v>
      </c>
      <c r="AE58" s="28" t="s">
        <v>104</v>
      </c>
    </row>
    <row r="59" spans="1:32" x14ac:dyDescent="0.15">
      <c r="A59" s="29">
        <v>58</v>
      </c>
      <c r="B59" s="34" t="s">
        <v>42</v>
      </c>
      <c r="C59" s="36" t="s">
        <v>43</v>
      </c>
      <c r="D59" s="28">
        <v>40.299999999999997</v>
      </c>
      <c r="E59" s="28" t="s">
        <v>104</v>
      </c>
      <c r="F59" s="28">
        <v>40.5</v>
      </c>
      <c r="G59" s="28" t="s">
        <v>104</v>
      </c>
      <c r="H59" s="28" t="s">
        <v>104</v>
      </c>
      <c r="I59" s="28" t="s">
        <v>104</v>
      </c>
      <c r="J59" s="28" t="s">
        <v>104</v>
      </c>
      <c r="K59" s="28" t="s">
        <v>104</v>
      </c>
      <c r="L59" s="28">
        <v>39.1</v>
      </c>
      <c r="M59" s="28" t="s">
        <v>104</v>
      </c>
      <c r="N59" s="28">
        <v>42.5</v>
      </c>
      <c r="O59" s="28">
        <v>41.4</v>
      </c>
      <c r="P59" s="28" t="s">
        <v>104</v>
      </c>
      <c r="Q59" s="28" t="s">
        <v>104</v>
      </c>
      <c r="R59" s="28" t="s">
        <v>104</v>
      </c>
      <c r="S59" s="28" t="s">
        <v>104</v>
      </c>
      <c r="T59" s="28">
        <v>42</v>
      </c>
      <c r="U59" s="28" t="s">
        <v>104</v>
      </c>
      <c r="V59" s="28" t="s">
        <v>104</v>
      </c>
      <c r="W59" s="28" t="s">
        <v>104</v>
      </c>
      <c r="X59" s="28" t="s">
        <v>104</v>
      </c>
      <c r="Y59" s="28" t="s">
        <v>104</v>
      </c>
      <c r="Z59" s="28">
        <v>39.200000000000003</v>
      </c>
      <c r="AA59" s="28" t="s">
        <v>104</v>
      </c>
      <c r="AB59" s="28" t="s">
        <v>104</v>
      </c>
      <c r="AC59" s="28" t="s">
        <v>104</v>
      </c>
      <c r="AD59" s="28" t="s">
        <v>104</v>
      </c>
      <c r="AE59" s="28" t="s">
        <v>104</v>
      </c>
    </row>
    <row r="60" spans="1:32" x14ac:dyDescent="0.15">
      <c r="A60" s="29">
        <v>59</v>
      </c>
      <c r="B60" s="34" t="s">
        <v>44</v>
      </c>
      <c r="C60" s="36" t="s">
        <v>45</v>
      </c>
      <c r="D60" s="28">
        <v>39.5</v>
      </c>
      <c r="E60" s="28" t="s">
        <v>104</v>
      </c>
      <c r="F60" s="28" t="s">
        <v>104</v>
      </c>
      <c r="G60" s="28" t="s">
        <v>104</v>
      </c>
      <c r="H60" s="28" t="s">
        <v>104</v>
      </c>
      <c r="I60" s="28" t="s">
        <v>104</v>
      </c>
      <c r="J60" s="28" t="s">
        <v>104</v>
      </c>
      <c r="K60" s="28" t="s">
        <v>104</v>
      </c>
      <c r="L60" s="28" t="s">
        <v>104</v>
      </c>
      <c r="M60" s="28" t="s">
        <v>104</v>
      </c>
      <c r="N60" s="28">
        <v>40.5</v>
      </c>
      <c r="O60" s="28" t="s">
        <v>104</v>
      </c>
      <c r="P60" s="28" t="s">
        <v>104</v>
      </c>
      <c r="Q60" s="28" t="s">
        <v>104</v>
      </c>
      <c r="R60" s="28" t="s">
        <v>104</v>
      </c>
      <c r="S60" s="28" t="s">
        <v>104</v>
      </c>
      <c r="T60" s="28" t="s">
        <v>104</v>
      </c>
      <c r="U60" s="28" t="s">
        <v>104</v>
      </c>
      <c r="V60" s="28" t="s">
        <v>104</v>
      </c>
      <c r="W60" s="28" t="s">
        <v>104</v>
      </c>
      <c r="X60" s="28" t="s">
        <v>104</v>
      </c>
      <c r="Y60" s="28" t="s">
        <v>104</v>
      </c>
      <c r="Z60" s="28">
        <v>38.299999999999997</v>
      </c>
      <c r="AA60" s="28" t="s">
        <v>104</v>
      </c>
      <c r="AB60" s="28" t="s">
        <v>104</v>
      </c>
      <c r="AC60" s="28" t="s">
        <v>104</v>
      </c>
      <c r="AD60" s="28" t="s">
        <v>104</v>
      </c>
      <c r="AE60" s="28" t="s">
        <v>104</v>
      </c>
    </row>
    <row r="61" spans="1:32" x14ac:dyDescent="0.15">
      <c r="A61" s="29">
        <v>60</v>
      </c>
      <c r="B61" s="34" t="s">
        <v>46</v>
      </c>
      <c r="C61" s="37">
        <v>45543</v>
      </c>
      <c r="D61" s="28">
        <v>39.5</v>
      </c>
      <c r="E61" s="28" t="s">
        <v>104</v>
      </c>
      <c r="F61" s="28" t="s">
        <v>104</v>
      </c>
      <c r="G61" s="28" t="s">
        <v>104</v>
      </c>
      <c r="H61" s="28" t="s">
        <v>104</v>
      </c>
      <c r="I61" s="28" t="s">
        <v>104</v>
      </c>
      <c r="J61" s="28" t="s">
        <v>104</v>
      </c>
      <c r="K61" s="28" t="s">
        <v>104</v>
      </c>
      <c r="L61" s="28">
        <v>42</v>
      </c>
      <c r="M61" s="28" t="s">
        <v>104</v>
      </c>
      <c r="N61" s="28">
        <v>40.299999999999997</v>
      </c>
      <c r="O61" s="28" t="s">
        <v>104</v>
      </c>
      <c r="P61" s="28">
        <v>38.700000000000003</v>
      </c>
      <c r="Q61" s="28" t="s">
        <v>104</v>
      </c>
      <c r="R61" s="28" t="s">
        <v>104</v>
      </c>
      <c r="S61" s="28" t="s">
        <v>104</v>
      </c>
      <c r="T61" s="28">
        <v>40.9</v>
      </c>
      <c r="U61" s="28" t="s">
        <v>104</v>
      </c>
      <c r="V61" s="28" t="s">
        <v>104</v>
      </c>
      <c r="W61" s="28" t="s">
        <v>104</v>
      </c>
      <c r="X61" s="28" t="s">
        <v>104</v>
      </c>
      <c r="Y61" s="28" t="s">
        <v>104</v>
      </c>
      <c r="Z61" s="28">
        <v>39.4</v>
      </c>
      <c r="AA61" s="28" t="s">
        <v>104</v>
      </c>
      <c r="AB61" s="28" t="s">
        <v>104</v>
      </c>
      <c r="AC61" s="28" t="s">
        <v>104</v>
      </c>
      <c r="AD61" s="28" t="s">
        <v>104</v>
      </c>
      <c r="AE61" s="28" t="s">
        <v>104</v>
      </c>
    </row>
    <row r="62" spans="1:32" x14ac:dyDescent="0.15">
      <c r="A62" s="29">
        <v>61</v>
      </c>
      <c r="B62" s="34" t="s">
        <v>47</v>
      </c>
      <c r="C62" s="37">
        <v>45546</v>
      </c>
      <c r="D62" s="28">
        <v>37.9</v>
      </c>
      <c r="E62" s="28" t="s">
        <v>104</v>
      </c>
      <c r="F62" s="28">
        <v>40.799999999999997</v>
      </c>
      <c r="G62" s="28" t="s">
        <v>104</v>
      </c>
      <c r="H62" s="28" t="s">
        <v>104</v>
      </c>
      <c r="I62" s="28" t="s">
        <v>104</v>
      </c>
      <c r="J62" s="28" t="s">
        <v>104</v>
      </c>
      <c r="K62" s="28" t="s">
        <v>104</v>
      </c>
      <c r="L62" s="28">
        <v>39.200000000000003</v>
      </c>
      <c r="M62" s="28" t="s">
        <v>104</v>
      </c>
      <c r="N62" s="28">
        <v>37.700000000000003</v>
      </c>
      <c r="O62" s="28" t="s">
        <v>104</v>
      </c>
      <c r="P62" s="28" t="s">
        <v>104</v>
      </c>
      <c r="Q62" s="28" t="s">
        <v>104</v>
      </c>
      <c r="R62" s="28" t="s">
        <v>104</v>
      </c>
      <c r="S62" s="28" t="s">
        <v>104</v>
      </c>
      <c r="T62" s="28">
        <v>38.4</v>
      </c>
      <c r="U62" s="28" t="s">
        <v>104</v>
      </c>
      <c r="V62" s="28">
        <v>40.299999999999997</v>
      </c>
      <c r="W62" s="28" t="s">
        <v>104</v>
      </c>
      <c r="X62" s="28" t="s">
        <v>104</v>
      </c>
      <c r="Y62" s="28" t="s">
        <v>104</v>
      </c>
      <c r="Z62" s="28">
        <v>39.200000000000003</v>
      </c>
      <c r="AA62" s="28" t="s">
        <v>104</v>
      </c>
      <c r="AB62" s="28" t="s">
        <v>104</v>
      </c>
      <c r="AC62" s="28" t="s">
        <v>104</v>
      </c>
      <c r="AD62" s="28">
        <v>40.6</v>
      </c>
      <c r="AE62" s="28" t="s">
        <v>104</v>
      </c>
    </row>
    <row r="63" spans="1:32" x14ac:dyDescent="0.15">
      <c r="A63" s="29">
        <v>62</v>
      </c>
      <c r="B63" s="34" t="s">
        <v>48</v>
      </c>
      <c r="C63" s="37">
        <v>45550</v>
      </c>
      <c r="D63" s="28">
        <v>38</v>
      </c>
      <c r="E63" s="28" t="s">
        <v>104</v>
      </c>
      <c r="F63" s="28" t="s">
        <v>104</v>
      </c>
      <c r="G63" s="28" t="s">
        <v>104</v>
      </c>
      <c r="H63" s="28" t="s">
        <v>104</v>
      </c>
      <c r="I63" s="28" t="s">
        <v>104</v>
      </c>
      <c r="J63" s="28" t="s">
        <v>104</v>
      </c>
      <c r="K63" s="28" t="s">
        <v>104</v>
      </c>
      <c r="L63" s="28">
        <v>42.4</v>
      </c>
      <c r="M63" s="28" t="s">
        <v>104</v>
      </c>
      <c r="N63" s="28">
        <v>41.2</v>
      </c>
      <c r="O63" s="28" t="s">
        <v>104</v>
      </c>
      <c r="P63" s="28" t="s">
        <v>104</v>
      </c>
      <c r="Q63" s="28" t="s">
        <v>104</v>
      </c>
      <c r="R63" s="28" t="s">
        <v>104</v>
      </c>
      <c r="S63" s="28" t="s">
        <v>104</v>
      </c>
      <c r="T63" s="28">
        <v>39.799999999999997</v>
      </c>
      <c r="U63" s="28" t="s">
        <v>104</v>
      </c>
      <c r="V63" s="28" t="s">
        <v>104</v>
      </c>
      <c r="W63" s="28" t="s">
        <v>104</v>
      </c>
      <c r="X63" s="28" t="s">
        <v>104</v>
      </c>
      <c r="Y63" s="28" t="s">
        <v>104</v>
      </c>
      <c r="Z63" s="28">
        <v>39.9</v>
      </c>
      <c r="AA63" s="28" t="s">
        <v>104</v>
      </c>
      <c r="AB63" s="28" t="s">
        <v>104</v>
      </c>
      <c r="AC63" s="28" t="s">
        <v>104</v>
      </c>
      <c r="AD63" s="28">
        <v>39.1</v>
      </c>
      <c r="AE63" s="28" t="s">
        <v>104</v>
      </c>
    </row>
    <row r="64" spans="1:32" x14ac:dyDescent="0.15">
      <c r="A64" s="29">
        <v>63</v>
      </c>
      <c r="B64" s="34" t="s">
        <v>49</v>
      </c>
      <c r="C64" s="36" t="s">
        <v>50</v>
      </c>
      <c r="D64" s="28">
        <v>38.5</v>
      </c>
      <c r="E64" s="28" t="s">
        <v>104</v>
      </c>
      <c r="F64" s="28" t="s">
        <v>104</v>
      </c>
      <c r="G64" s="28" t="s">
        <v>104</v>
      </c>
      <c r="H64" s="28" t="s">
        <v>104</v>
      </c>
      <c r="I64" s="28" t="s">
        <v>104</v>
      </c>
      <c r="J64" s="28" t="s">
        <v>104</v>
      </c>
      <c r="K64" s="28" t="s">
        <v>104</v>
      </c>
      <c r="L64" s="28" t="s">
        <v>104</v>
      </c>
      <c r="M64" s="28" t="s">
        <v>104</v>
      </c>
      <c r="N64" s="28" t="s">
        <v>104</v>
      </c>
      <c r="O64" s="28">
        <v>39.4</v>
      </c>
      <c r="P64" s="28" t="s">
        <v>104</v>
      </c>
      <c r="Q64" s="28" t="s">
        <v>104</v>
      </c>
      <c r="R64" s="28" t="s">
        <v>104</v>
      </c>
      <c r="S64" s="28" t="s">
        <v>104</v>
      </c>
      <c r="T64" s="28">
        <v>38.1</v>
      </c>
      <c r="U64" s="28" t="s">
        <v>104</v>
      </c>
      <c r="V64" s="28">
        <v>41.5</v>
      </c>
      <c r="W64" s="28" t="s">
        <v>104</v>
      </c>
      <c r="X64" s="28" t="s">
        <v>104</v>
      </c>
      <c r="Y64" s="28" t="s">
        <v>104</v>
      </c>
      <c r="Z64" s="28">
        <v>38.200000000000003</v>
      </c>
      <c r="AA64" s="28">
        <v>40.5</v>
      </c>
      <c r="AB64" s="28" t="s">
        <v>104</v>
      </c>
      <c r="AC64" s="28" t="s">
        <v>104</v>
      </c>
      <c r="AD64" s="28">
        <v>41.7</v>
      </c>
      <c r="AE64" s="28" t="s">
        <v>104</v>
      </c>
    </row>
    <row r="65" spans="1:31" x14ac:dyDescent="0.15">
      <c r="A65" s="29">
        <v>64</v>
      </c>
      <c r="B65" s="34" t="s">
        <v>51</v>
      </c>
      <c r="C65" s="37">
        <v>45557</v>
      </c>
      <c r="D65" s="28">
        <v>39.299999999999997</v>
      </c>
      <c r="E65" s="28" t="s">
        <v>104</v>
      </c>
      <c r="F65" s="28" t="s">
        <v>104</v>
      </c>
      <c r="G65" s="28" t="s">
        <v>104</v>
      </c>
      <c r="H65" s="28" t="s">
        <v>104</v>
      </c>
      <c r="I65" s="28" t="s">
        <v>104</v>
      </c>
      <c r="J65" s="28" t="s">
        <v>104</v>
      </c>
      <c r="K65" s="28" t="s">
        <v>104</v>
      </c>
      <c r="L65" s="28" t="s">
        <v>104</v>
      </c>
      <c r="M65" s="28" t="s">
        <v>104</v>
      </c>
      <c r="N65" s="28">
        <v>42</v>
      </c>
      <c r="O65" s="28" t="s">
        <v>104</v>
      </c>
      <c r="P65" s="28" t="s">
        <v>104</v>
      </c>
      <c r="Q65" s="28" t="s">
        <v>104</v>
      </c>
      <c r="R65" s="28" t="s">
        <v>104</v>
      </c>
      <c r="S65" s="28" t="s">
        <v>104</v>
      </c>
      <c r="T65" s="28">
        <v>39.200000000000003</v>
      </c>
      <c r="U65" s="28" t="s">
        <v>104</v>
      </c>
      <c r="V65" s="28" t="s">
        <v>104</v>
      </c>
      <c r="W65" s="28" t="s">
        <v>104</v>
      </c>
      <c r="X65" s="28" t="s">
        <v>104</v>
      </c>
      <c r="Y65" s="28" t="s">
        <v>104</v>
      </c>
      <c r="Z65" s="28" t="s">
        <v>104</v>
      </c>
      <c r="AA65" s="28" t="s">
        <v>104</v>
      </c>
      <c r="AB65" s="28" t="s">
        <v>104</v>
      </c>
      <c r="AC65" s="28" t="s">
        <v>104</v>
      </c>
      <c r="AD65" s="28">
        <v>40</v>
      </c>
      <c r="AE65" s="28" t="s">
        <v>104</v>
      </c>
    </row>
    <row r="66" spans="1:31" x14ac:dyDescent="0.15">
      <c r="A66" s="29">
        <v>65</v>
      </c>
      <c r="B66" s="31" t="s">
        <v>156</v>
      </c>
      <c r="C66" s="35">
        <v>45560</v>
      </c>
      <c r="D66" s="28">
        <v>39.1</v>
      </c>
      <c r="E66" s="28" t="s">
        <v>104</v>
      </c>
      <c r="F66" s="28" t="s">
        <v>104</v>
      </c>
      <c r="G66" s="28" t="s">
        <v>104</v>
      </c>
      <c r="H66" s="28" t="s">
        <v>104</v>
      </c>
      <c r="I66" s="28" t="s">
        <v>104</v>
      </c>
      <c r="J66" s="28" t="s">
        <v>104</v>
      </c>
      <c r="K66" s="28" t="s">
        <v>104</v>
      </c>
      <c r="L66" s="28" t="s">
        <v>104</v>
      </c>
      <c r="M66" s="28" t="s">
        <v>104</v>
      </c>
      <c r="N66" s="28" t="s">
        <v>104</v>
      </c>
      <c r="O66" s="28" t="s">
        <v>104</v>
      </c>
      <c r="P66" s="28" t="s">
        <v>104</v>
      </c>
      <c r="Q66" s="28" t="s">
        <v>104</v>
      </c>
      <c r="R66" s="28" t="s">
        <v>104</v>
      </c>
      <c r="S66" s="28" t="s">
        <v>104</v>
      </c>
      <c r="T66" s="28">
        <v>39.799999999999997</v>
      </c>
      <c r="U66" s="28" t="s">
        <v>104</v>
      </c>
      <c r="V66" s="28" t="s">
        <v>104</v>
      </c>
      <c r="W66" s="28" t="s">
        <v>104</v>
      </c>
      <c r="X66" s="28" t="s">
        <v>104</v>
      </c>
      <c r="Y66" s="28" t="s">
        <v>104</v>
      </c>
      <c r="Z66" s="28">
        <v>39.799999999999997</v>
      </c>
      <c r="AA66" s="28" t="s">
        <v>104</v>
      </c>
      <c r="AB66" s="28" t="s">
        <v>104</v>
      </c>
      <c r="AC66" s="28" t="s">
        <v>104</v>
      </c>
      <c r="AD66" s="28">
        <v>40.799999999999997</v>
      </c>
      <c r="AE66" s="28" t="s">
        <v>104</v>
      </c>
    </row>
    <row r="67" spans="1:31" x14ac:dyDescent="0.15">
      <c r="A67" s="29">
        <v>66</v>
      </c>
      <c r="B67" s="34" t="s">
        <v>52</v>
      </c>
      <c r="C67" s="37">
        <v>45564</v>
      </c>
      <c r="D67" s="28">
        <v>39.200000000000003</v>
      </c>
      <c r="E67" s="28" t="s">
        <v>104</v>
      </c>
      <c r="F67" s="28" t="s">
        <v>104</v>
      </c>
      <c r="G67" s="28" t="s">
        <v>104</v>
      </c>
      <c r="H67" s="28" t="s">
        <v>104</v>
      </c>
      <c r="I67" s="28" t="s">
        <v>104</v>
      </c>
      <c r="J67" s="28" t="s">
        <v>104</v>
      </c>
      <c r="K67" s="28" t="s">
        <v>104</v>
      </c>
      <c r="L67" s="28">
        <v>39.9</v>
      </c>
      <c r="M67" s="28" t="s">
        <v>104</v>
      </c>
      <c r="N67" s="28" t="s">
        <v>104</v>
      </c>
      <c r="O67" s="28">
        <v>40.299999999999997</v>
      </c>
      <c r="P67" s="28">
        <v>39.1</v>
      </c>
      <c r="Q67" s="28" t="s">
        <v>104</v>
      </c>
      <c r="R67" s="28" t="s">
        <v>104</v>
      </c>
      <c r="S67" s="28" t="s">
        <v>104</v>
      </c>
      <c r="T67" s="28">
        <v>41.1</v>
      </c>
      <c r="U67" s="28" t="s">
        <v>104</v>
      </c>
      <c r="V67" s="28">
        <v>41.8</v>
      </c>
      <c r="W67" s="28" t="s">
        <v>104</v>
      </c>
      <c r="X67" s="28" t="s">
        <v>104</v>
      </c>
      <c r="Y67" s="28" t="s">
        <v>104</v>
      </c>
      <c r="Z67" s="28">
        <v>37.299999999999997</v>
      </c>
      <c r="AA67" s="28" t="s">
        <v>104</v>
      </c>
      <c r="AB67" s="28">
        <v>42.3</v>
      </c>
      <c r="AC67" s="28" t="s">
        <v>104</v>
      </c>
      <c r="AD67" s="28">
        <v>40.9</v>
      </c>
      <c r="AE67" s="28" t="s">
        <v>104</v>
      </c>
    </row>
    <row r="68" spans="1:31" x14ac:dyDescent="0.15">
      <c r="A68" s="29">
        <v>67</v>
      </c>
      <c r="B68" s="34" t="s">
        <v>53</v>
      </c>
      <c r="C68" s="37">
        <v>45567</v>
      </c>
      <c r="D68" s="28">
        <v>39</v>
      </c>
      <c r="E68" s="28" t="s">
        <v>104</v>
      </c>
      <c r="F68" s="28" t="s">
        <v>104</v>
      </c>
      <c r="G68" s="28" t="s">
        <v>104</v>
      </c>
      <c r="H68" s="28" t="s">
        <v>104</v>
      </c>
      <c r="I68" s="28" t="s">
        <v>104</v>
      </c>
      <c r="J68" s="28">
        <v>42</v>
      </c>
      <c r="K68" s="28" t="s">
        <v>104</v>
      </c>
      <c r="L68" s="28" t="s">
        <v>104</v>
      </c>
      <c r="M68" s="28" t="s">
        <v>104</v>
      </c>
      <c r="N68" s="28" t="s">
        <v>104</v>
      </c>
      <c r="O68" s="28" t="s">
        <v>104</v>
      </c>
      <c r="P68" s="28" t="s">
        <v>104</v>
      </c>
      <c r="Q68" s="28" t="s">
        <v>104</v>
      </c>
      <c r="R68" s="28" t="s">
        <v>104</v>
      </c>
      <c r="S68" s="28" t="s">
        <v>104</v>
      </c>
      <c r="T68" s="28" t="s">
        <v>104</v>
      </c>
      <c r="U68" s="28" t="s">
        <v>104</v>
      </c>
      <c r="V68" s="28" t="s">
        <v>104</v>
      </c>
      <c r="W68" s="28" t="s">
        <v>104</v>
      </c>
      <c r="X68" s="28" t="s">
        <v>104</v>
      </c>
      <c r="Y68" s="28" t="s">
        <v>104</v>
      </c>
      <c r="Z68" s="28">
        <v>37</v>
      </c>
      <c r="AA68" s="28" t="s">
        <v>104</v>
      </c>
      <c r="AB68" s="28" t="s">
        <v>104</v>
      </c>
      <c r="AC68" s="28" t="s">
        <v>104</v>
      </c>
      <c r="AD68" s="28">
        <v>40.4</v>
      </c>
      <c r="AE68" s="28" t="s">
        <v>104</v>
      </c>
    </row>
    <row r="69" spans="1:31" x14ac:dyDescent="0.15">
      <c r="A69" s="29">
        <v>68</v>
      </c>
      <c r="B69" s="34" t="s">
        <v>54</v>
      </c>
      <c r="C69" s="37">
        <v>45571</v>
      </c>
      <c r="D69" s="28">
        <v>40</v>
      </c>
      <c r="E69" s="28" t="s">
        <v>104</v>
      </c>
      <c r="F69" s="28" t="s">
        <v>104</v>
      </c>
      <c r="G69" s="28" t="s">
        <v>104</v>
      </c>
      <c r="H69" s="28" t="s">
        <v>104</v>
      </c>
      <c r="I69" s="28" t="s">
        <v>104</v>
      </c>
      <c r="J69" s="28" t="s">
        <v>104</v>
      </c>
      <c r="K69" s="28" t="s">
        <v>104</v>
      </c>
      <c r="L69" s="28">
        <v>40.299999999999997</v>
      </c>
      <c r="M69" s="28" t="s">
        <v>104</v>
      </c>
      <c r="N69" s="28">
        <v>42.5</v>
      </c>
      <c r="O69" s="28">
        <v>42.2</v>
      </c>
      <c r="P69" s="28" t="s">
        <v>104</v>
      </c>
      <c r="Q69" s="28">
        <v>41.2</v>
      </c>
      <c r="R69" s="28" t="s">
        <v>104</v>
      </c>
      <c r="S69" s="28" t="s">
        <v>104</v>
      </c>
      <c r="T69" s="28">
        <v>39.299999999999997</v>
      </c>
      <c r="U69" s="28" t="s">
        <v>104</v>
      </c>
      <c r="V69" s="28">
        <v>39.5</v>
      </c>
      <c r="W69" s="28" t="s">
        <v>104</v>
      </c>
      <c r="X69" s="28" t="s">
        <v>104</v>
      </c>
      <c r="Y69" s="28" t="s">
        <v>104</v>
      </c>
      <c r="Z69" s="28">
        <v>43</v>
      </c>
      <c r="AA69" s="28" t="s">
        <v>104</v>
      </c>
      <c r="AB69" s="28" t="s">
        <v>104</v>
      </c>
      <c r="AC69" s="28" t="s">
        <v>104</v>
      </c>
      <c r="AD69" s="28">
        <v>39.700000000000003</v>
      </c>
      <c r="AE69" s="28" t="s">
        <v>104</v>
      </c>
    </row>
    <row r="70" spans="1:31" x14ac:dyDescent="0.15">
      <c r="A70" s="29">
        <v>69</v>
      </c>
      <c r="B70" s="34" t="s">
        <v>55</v>
      </c>
      <c r="C70" s="37">
        <v>45574</v>
      </c>
      <c r="D70" s="28">
        <v>39.9</v>
      </c>
      <c r="E70" s="28" t="s">
        <v>104</v>
      </c>
      <c r="F70" s="28" t="s">
        <v>104</v>
      </c>
      <c r="G70" s="28" t="s">
        <v>104</v>
      </c>
      <c r="H70" s="28" t="s">
        <v>104</v>
      </c>
      <c r="I70" s="28" t="s">
        <v>104</v>
      </c>
      <c r="J70" s="28" t="s">
        <v>104</v>
      </c>
      <c r="K70" s="28" t="s">
        <v>104</v>
      </c>
      <c r="L70" s="28" t="s">
        <v>104</v>
      </c>
      <c r="M70" s="28" t="s">
        <v>104</v>
      </c>
      <c r="N70" s="28" t="s">
        <v>104</v>
      </c>
      <c r="O70" s="28" t="s">
        <v>104</v>
      </c>
      <c r="P70" s="28" t="s">
        <v>104</v>
      </c>
      <c r="Q70" s="28" t="s">
        <v>104</v>
      </c>
      <c r="R70" s="28" t="s">
        <v>104</v>
      </c>
      <c r="S70" s="28">
        <v>41.2</v>
      </c>
      <c r="T70" s="28">
        <v>39</v>
      </c>
      <c r="U70" s="28" t="s">
        <v>104</v>
      </c>
      <c r="V70" s="28" t="s">
        <v>104</v>
      </c>
      <c r="W70" s="28" t="s">
        <v>104</v>
      </c>
      <c r="X70" s="28" t="s">
        <v>104</v>
      </c>
      <c r="Y70" s="28" t="s">
        <v>104</v>
      </c>
      <c r="Z70" s="28" t="s">
        <v>104</v>
      </c>
      <c r="AA70" s="28" t="s">
        <v>104</v>
      </c>
      <c r="AB70" s="28" t="s">
        <v>104</v>
      </c>
      <c r="AC70" s="28" t="s">
        <v>104</v>
      </c>
      <c r="AD70" s="28" t="s">
        <v>104</v>
      </c>
      <c r="AE70" s="28" t="s">
        <v>104</v>
      </c>
    </row>
    <row r="71" spans="1:31" x14ac:dyDescent="0.15">
      <c r="A71" s="29">
        <v>70</v>
      </c>
      <c r="B71" s="34" t="s">
        <v>56</v>
      </c>
      <c r="C71" s="37">
        <v>45578</v>
      </c>
      <c r="D71" s="28">
        <v>40.200000000000003</v>
      </c>
      <c r="E71" s="28" t="s">
        <v>104</v>
      </c>
      <c r="F71" s="28" t="s">
        <v>104</v>
      </c>
      <c r="G71" s="28" t="s">
        <v>104</v>
      </c>
      <c r="H71" s="28" t="s">
        <v>104</v>
      </c>
      <c r="I71" s="28" t="s">
        <v>104</v>
      </c>
      <c r="J71" s="28" t="s">
        <v>104</v>
      </c>
      <c r="K71" s="28" t="s">
        <v>104</v>
      </c>
      <c r="L71" s="28" t="s">
        <v>104</v>
      </c>
      <c r="M71" s="28" t="s">
        <v>104</v>
      </c>
      <c r="N71" s="28" t="s">
        <v>104</v>
      </c>
      <c r="O71" s="28" t="s">
        <v>104</v>
      </c>
      <c r="P71" s="28" t="s">
        <v>104</v>
      </c>
      <c r="Q71" s="28">
        <v>41.2</v>
      </c>
      <c r="R71" s="28" t="s">
        <v>104</v>
      </c>
      <c r="S71" s="28" t="s">
        <v>104</v>
      </c>
      <c r="T71" s="28">
        <v>41.9</v>
      </c>
      <c r="U71" s="28" t="s">
        <v>104</v>
      </c>
      <c r="V71" s="28" t="s">
        <v>104</v>
      </c>
      <c r="W71" s="28" t="s">
        <v>104</v>
      </c>
      <c r="X71" s="28">
        <v>42.3</v>
      </c>
      <c r="Y71" s="28" t="s">
        <v>104</v>
      </c>
      <c r="Z71" s="28">
        <v>40.700000000000003</v>
      </c>
      <c r="AA71" s="28" t="s">
        <v>104</v>
      </c>
      <c r="AB71" s="28" t="s">
        <v>104</v>
      </c>
      <c r="AC71" s="28" t="s">
        <v>104</v>
      </c>
      <c r="AD71" s="28">
        <v>40.700000000000003</v>
      </c>
      <c r="AE71" s="28" t="s">
        <v>104</v>
      </c>
    </row>
    <row r="72" spans="1:31" x14ac:dyDescent="0.15">
      <c r="A72" s="29">
        <v>71</v>
      </c>
      <c r="B72" s="34" t="s">
        <v>57</v>
      </c>
      <c r="C72" s="36" t="s">
        <v>58</v>
      </c>
      <c r="D72" s="28">
        <v>35.9</v>
      </c>
      <c r="E72" s="28" t="s">
        <v>104</v>
      </c>
      <c r="F72" s="28" t="s">
        <v>104</v>
      </c>
      <c r="G72" s="28" t="s">
        <v>104</v>
      </c>
      <c r="H72" s="28" t="s">
        <v>104</v>
      </c>
      <c r="I72" s="28" t="s">
        <v>104</v>
      </c>
      <c r="J72" s="28" t="s">
        <v>104</v>
      </c>
      <c r="K72" s="28" t="s">
        <v>104</v>
      </c>
      <c r="L72" s="28">
        <v>38.200000000000003</v>
      </c>
      <c r="M72" s="28" t="s">
        <v>104</v>
      </c>
      <c r="N72" s="28">
        <v>39.6</v>
      </c>
      <c r="O72" s="28" t="s">
        <v>104</v>
      </c>
      <c r="P72" s="28" t="s">
        <v>104</v>
      </c>
      <c r="Q72" s="28" t="s">
        <v>104</v>
      </c>
      <c r="R72" s="28" t="s">
        <v>104</v>
      </c>
      <c r="S72" s="28" t="s">
        <v>104</v>
      </c>
      <c r="T72" s="28">
        <v>38.9</v>
      </c>
      <c r="U72" s="28" t="s">
        <v>104</v>
      </c>
      <c r="V72" s="28">
        <v>41.2</v>
      </c>
      <c r="W72" s="28" t="s">
        <v>104</v>
      </c>
      <c r="X72" s="28" t="s">
        <v>104</v>
      </c>
      <c r="Y72" s="28" t="s">
        <v>104</v>
      </c>
      <c r="Z72" s="28">
        <v>38.200000000000003</v>
      </c>
      <c r="AA72" s="28">
        <v>39.9</v>
      </c>
      <c r="AB72" s="28" t="s">
        <v>104</v>
      </c>
      <c r="AC72" s="28" t="s">
        <v>104</v>
      </c>
      <c r="AD72" s="28">
        <v>40</v>
      </c>
      <c r="AE72" s="28" t="s">
        <v>104</v>
      </c>
    </row>
    <row r="73" spans="1:31" x14ac:dyDescent="0.15">
      <c r="A73" s="29">
        <v>72</v>
      </c>
      <c r="B73" s="34" t="s">
        <v>59</v>
      </c>
      <c r="C73" s="37">
        <v>45585</v>
      </c>
      <c r="D73" s="28">
        <v>37.200000000000003</v>
      </c>
      <c r="E73" s="28" t="s">
        <v>104</v>
      </c>
      <c r="F73" s="28" t="s">
        <v>104</v>
      </c>
      <c r="G73" s="28" t="s">
        <v>104</v>
      </c>
      <c r="H73" s="28" t="s">
        <v>104</v>
      </c>
      <c r="I73" s="28" t="s">
        <v>104</v>
      </c>
      <c r="J73" s="28" t="s">
        <v>104</v>
      </c>
      <c r="K73" s="28" t="s">
        <v>104</v>
      </c>
      <c r="L73" s="28">
        <v>40.5</v>
      </c>
      <c r="M73" s="28" t="s">
        <v>104</v>
      </c>
      <c r="N73" s="28">
        <v>42.4</v>
      </c>
      <c r="O73" s="28" t="s">
        <v>104</v>
      </c>
      <c r="P73" s="28" t="s">
        <v>104</v>
      </c>
      <c r="Q73" s="28" t="s">
        <v>104</v>
      </c>
      <c r="R73" s="28" t="s">
        <v>104</v>
      </c>
      <c r="S73" s="28" t="s">
        <v>104</v>
      </c>
      <c r="T73" s="28">
        <v>36.799999999999997</v>
      </c>
      <c r="U73" s="28" t="s">
        <v>104</v>
      </c>
      <c r="V73" s="28">
        <v>41.8</v>
      </c>
      <c r="W73" s="28" t="s">
        <v>104</v>
      </c>
      <c r="X73" s="28">
        <v>41.1</v>
      </c>
      <c r="Y73" s="28" t="s">
        <v>104</v>
      </c>
      <c r="Z73" s="28">
        <v>39.299999999999997</v>
      </c>
      <c r="AA73" s="28">
        <v>40.200000000000003</v>
      </c>
      <c r="AB73" s="28" t="s">
        <v>104</v>
      </c>
      <c r="AC73" s="28" t="s">
        <v>104</v>
      </c>
      <c r="AD73" s="28">
        <v>40.299999999999997</v>
      </c>
      <c r="AE73" s="28" t="s">
        <v>104</v>
      </c>
    </row>
    <row r="74" spans="1:31" x14ac:dyDescent="0.15">
      <c r="A74" s="29">
        <v>73</v>
      </c>
      <c r="B74" s="34" t="s">
        <v>60</v>
      </c>
      <c r="C74" s="37">
        <v>45588</v>
      </c>
      <c r="D74" s="28" t="s">
        <v>104</v>
      </c>
      <c r="E74" s="28" t="s">
        <v>104</v>
      </c>
      <c r="F74" s="28" t="s">
        <v>104</v>
      </c>
      <c r="G74" s="28" t="s">
        <v>104</v>
      </c>
      <c r="H74" s="28" t="s">
        <v>104</v>
      </c>
      <c r="I74" s="28" t="s">
        <v>104</v>
      </c>
      <c r="J74" s="28" t="s">
        <v>104</v>
      </c>
      <c r="K74" s="28" t="s">
        <v>104</v>
      </c>
      <c r="L74" s="28" t="s">
        <v>104</v>
      </c>
      <c r="M74" s="28" t="s">
        <v>104</v>
      </c>
      <c r="N74" s="28" t="s">
        <v>104</v>
      </c>
      <c r="O74" s="28" t="s">
        <v>104</v>
      </c>
      <c r="P74" s="28" t="s">
        <v>104</v>
      </c>
      <c r="Q74" s="28" t="s">
        <v>104</v>
      </c>
      <c r="R74" s="28" t="s">
        <v>104</v>
      </c>
      <c r="S74" s="28" t="s">
        <v>104</v>
      </c>
      <c r="T74" s="28" t="s">
        <v>104</v>
      </c>
      <c r="U74" s="28" t="s">
        <v>104</v>
      </c>
      <c r="V74" s="28" t="s">
        <v>104</v>
      </c>
      <c r="W74" s="28" t="s">
        <v>104</v>
      </c>
      <c r="X74" s="28" t="s">
        <v>104</v>
      </c>
      <c r="Y74" s="28" t="s">
        <v>104</v>
      </c>
      <c r="Z74" s="28">
        <v>40.5</v>
      </c>
      <c r="AA74" s="28" t="s">
        <v>104</v>
      </c>
      <c r="AB74" s="28" t="s">
        <v>104</v>
      </c>
      <c r="AC74" s="28" t="s">
        <v>104</v>
      </c>
      <c r="AD74" s="28" t="s">
        <v>104</v>
      </c>
      <c r="AE74" s="28" t="s">
        <v>104</v>
      </c>
    </row>
    <row r="75" spans="1:31" x14ac:dyDescent="0.15">
      <c r="A75" s="29">
        <v>74</v>
      </c>
      <c r="B75" s="34" t="s">
        <v>61</v>
      </c>
      <c r="C75" s="37">
        <v>45592</v>
      </c>
      <c r="D75" s="28">
        <v>37.4</v>
      </c>
      <c r="E75" s="28" t="s">
        <v>104</v>
      </c>
      <c r="F75" s="28" t="s">
        <v>104</v>
      </c>
      <c r="G75" s="28" t="s">
        <v>104</v>
      </c>
      <c r="H75" s="28" t="s">
        <v>104</v>
      </c>
      <c r="I75" s="28">
        <v>40.200000000000003</v>
      </c>
      <c r="J75" s="28" t="s">
        <v>104</v>
      </c>
      <c r="K75" s="28" t="s">
        <v>104</v>
      </c>
      <c r="L75" s="28">
        <v>41.2</v>
      </c>
      <c r="M75" s="28" t="s">
        <v>104</v>
      </c>
      <c r="N75" s="28">
        <v>40.5</v>
      </c>
      <c r="O75" s="28" t="s">
        <v>104</v>
      </c>
      <c r="P75" s="28" t="s">
        <v>104</v>
      </c>
      <c r="Q75" s="28" t="s">
        <v>104</v>
      </c>
      <c r="R75" s="28" t="s">
        <v>104</v>
      </c>
      <c r="S75" s="28" t="s">
        <v>104</v>
      </c>
      <c r="T75" s="28">
        <v>39.1</v>
      </c>
      <c r="U75" s="28" t="s">
        <v>104</v>
      </c>
      <c r="V75" s="28" t="s">
        <v>104</v>
      </c>
      <c r="W75" s="28" t="s">
        <v>104</v>
      </c>
      <c r="X75" s="28" t="s">
        <v>104</v>
      </c>
      <c r="Y75" s="28" t="s">
        <v>104</v>
      </c>
      <c r="Z75" s="28">
        <v>38.700000000000003</v>
      </c>
      <c r="AA75" s="28">
        <v>39.6</v>
      </c>
      <c r="AB75" s="28" t="s">
        <v>104</v>
      </c>
      <c r="AC75" s="28" t="s">
        <v>104</v>
      </c>
      <c r="AD75" s="28">
        <v>39.9</v>
      </c>
      <c r="AE75" s="28" t="s">
        <v>104</v>
      </c>
    </row>
    <row r="76" spans="1:31" x14ac:dyDescent="0.15">
      <c r="A76" s="29">
        <v>75</v>
      </c>
      <c r="B76" s="31" t="s">
        <v>157</v>
      </c>
      <c r="C76" s="35">
        <v>45595</v>
      </c>
      <c r="D76" s="28">
        <v>36.200000000000003</v>
      </c>
      <c r="E76" s="28" t="s">
        <v>104</v>
      </c>
      <c r="F76" s="28" t="s">
        <v>104</v>
      </c>
      <c r="G76" s="28" t="s">
        <v>104</v>
      </c>
      <c r="H76" s="28" t="s">
        <v>104</v>
      </c>
      <c r="I76" s="28" t="s">
        <v>104</v>
      </c>
      <c r="J76" s="28" t="s">
        <v>104</v>
      </c>
      <c r="K76" s="28" t="s">
        <v>104</v>
      </c>
      <c r="L76" s="28">
        <v>39.1</v>
      </c>
      <c r="M76" s="28" t="s">
        <v>104</v>
      </c>
      <c r="N76" s="28">
        <v>38.799999999999997</v>
      </c>
      <c r="O76" s="28" t="s">
        <v>104</v>
      </c>
      <c r="P76" s="28" t="s">
        <v>104</v>
      </c>
      <c r="Q76" s="28" t="s">
        <v>104</v>
      </c>
      <c r="R76" s="28" t="s">
        <v>104</v>
      </c>
      <c r="S76" s="28" t="s">
        <v>104</v>
      </c>
      <c r="T76" s="28">
        <v>42.2</v>
      </c>
      <c r="U76" s="28" t="s">
        <v>104</v>
      </c>
      <c r="V76" s="28" t="s">
        <v>104</v>
      </c>
      <c r="W76" s="28" t="s">
        <v>104</v>
      </c>
      <c r="X76" s="28" t="s">
        <v>104</v>
      </c>
      <c r="Y76" s="28" t="s">
        <v>104</v>
      </c>
      <c r="Z76" s="28">
        <v>38.200000000000003</v>
      </c>
      <c r="AA76" s="28" t="s">
        <v>104</v>
      </c>
      <c r="AB76" s="28" t="s">
        <v>104</v>
      </c>
      <c r="AC76" s="28" t="s">
        <v>104</v>
      </c>
      <c r="AD76" s="28" t="s">
        <v>104</v>
      </c>
      <c r="AE76" s="28" t="s">
        <v>104</v>
      </c>
    </row>
    <row r="77" spans="1:31" x14ac:dyDescent="0.15">
      <c r="A77" s="29">
        <v>76</v>
      </c>
      <c r="B77" s="34" t="s">
        <v>62</v>
      </c>
      <c r="C77" s="36" t="s">
        <v>63</v>
      </c>
      <c r="D77" s="28" t="s">
        <v>104</v>
      </c>
      <c r="E77" s="28" t="s">
        <v>104</v>
      </c>
      <c r="F77" s="28" t="s">
        <v>104</v>
      </c>
      <c r="G77" s="28" t="s">
        <v>104</v>
      </c>
      <c r="H77" s="28" t="s">
        <v>104</v>
      </c>
      <c r="I77" s="28" t="s">
        <v>104</v>
      </c>
      <c r="J77" s="28" t="s">
        <v>104</v>
      </c>
      <c r="K77" s="28" t="s">
        <v>104</v>
      </c>
      <c r="L77" s="28" t="s">
        <v>104</v>
      </c>
      <c r="M77" s="28" t="s">
        <v>104</v>
      </c>
      <c r="N77" s="28">
        <v>41</v>
      </c>
      <c r="O77" s="28" t="s">
        <v>104</v>
      </c>
      <c r="P77" s="28" t="s">
        <v>104</v>
      </c>
      <c r="Q77" s="28" t="s">
        <v>104</v>
      </c>
      <c r="R77" s="28" t="s">
        <v>104</v>
      </c>
      <c r="S77" s="28" t="s">
        <v>104</v>
      </c>
      <c r="T77" s="28" t="s">
        <v>104</v>
      </c>
      <c r="U77" s="28" t="s">
        <v>104</v>
      </c>
      <c r="V77" s="28">
        <v>36.9</v>
      </c>
      <c r="W77" s="28" t="s">
        <v>104</v>
      </c>
      <c r="X77" s="28" t="s">
        <v>104</v>
      </c>
      <c r="Y77" s="28" t="s">
        <v>104</v>
      </c>
      <c r="Z77" s="28">
        <v>39.5</v>
      </c>
      <c r="AA77" s="28" t="s">
        <v>104</v>
      </c>
      <c r="AB77" s="28" t="s">
        <v>104</v>
      </c>
      <c r="AC77" s="28" t="s">
        <v>104</v>
      </c>
      <c r="AD77" s="28" t="s">
        <v>104</v>
      </c>
      <c r="AE77" s="28" t="s">
        <v>104</v>
      </c>
    </row>
    <row r="78" spans="1:31" x14ac:dyDescent="0.15">
      <c r="A78" s="29">
        <v>77</v>
      </c>
      <c r="B78" s="34" t="s">
        <v>64</v>
      </c>
      <c r="C78" s="36" t="s">
        <v>65</v>
      </c>
      <c r="D78" s="28">
        <v>37.6</v>
      </c>
      <c r="E78" s="28" t="s">
        <v>104</v>
      </c>
      <c r="F78" s="28">
        <v>39.6</v>
      </c>
      <c r="G78" s="28" t="s">
        <v>104</v>
      </c>
      <c r="H78" s="28" t="s">
        <v>104</v>
      </c>
      <c r="I78" s="28" t="s">
        <v>104</v>
      </c>
      <c r="J78" s="28" t="s">
        <v>104</v>
      </c>
      <c r="K78" s="28">
        <v>39.9</v>
      </c>
      <c r="L78" s="28">
        <v>39.700000000000003</v>
      </c>
      <c r="M78" s="28" t="s">
        <v>104</v>
      </c>
      <c r="N78" s="28">
        <v>41.6</v>
      </c>
      <c r="O78" s="28">
        <v>42.5</v>
      </c>
      <c r="P78" s="28">
        <v>37.4</v>
      </c>
      <c r="Q78" s="28" t="s">
        <v>104</v>
      </c>
      <c r="R78" s="28" t="s">
        <v>104</v>
      </c>
      <c r="S78" s="28" t="s">
        <v>104</v>
      </c>
      <c r="T78" s="28">
        <v>35.9</v>
      </c>
      <c r="U78" s="28">
        <v>37.9</v>
      </c>
      <c r="V78" s="28">
        <v>40.5</v>
      </c>
      <c r="W78" s="28" t="s">
        <v>104</v>
      </c>
      <c r="X78" s="28" t="s">
        <v>104</v>
      </c>
      <c r="Y78" s="28" t="s">
        <v>104</v>
      </c>
      <c r="Z78" s="28">
        <v>38.4</v>
      </c>
      <c r="AA78" s="28" t="s">
        <v>104</v>
      </c>
      <c r="AB78" s="28" t="s">
        <v>104</v>
      </c>
      <c r="AC78" s="28" t="s">
        <v>104</v>
      </c>
      <c r="AD78" s="28">
        <v>37.799999999999997</v>
      </c>
      <c r="AE78" s="28" t="s">
        <v>104</v>
      </c>
    </row>
    <row r="79" spans="1:31" x14ac:dyDescent="0.15">
      <c r="A79" s="29">
        <v>78</v>
      </c>
      <c r="B79" s="34" t="s">
        <v>66</v>
      </c>
      <c r="C79" s="36" t="s">
        <v>67</v>
      </c>
      <c r="D79" s="28">
        <v>35.6</v>
      </c>
      <c r="E79" s="28" t="s">
        <v>104</v>
      </c>
      <c r="F79" s="28" t="s">
        <v>104</v>
      </c>
      <c r="G79" s="28" t="s">
        <v>104</v>
      </c>
      <c r="H79" s="28" t="s">
        <v>104</v>
      </c>
      <c r="I79" s="28">
        <v>33</v>
      </c>
      <c r="J79" s="28" t="s">
        <v>104</v>
      </c>
      <c r="K79" s="28" t="s">
        <v>104</v>
      </c>
      <c r="L79" s="28">
        <v>39.1</v>
      </c>
      <c r="M79" s="28" t="s">
        <v>104</v>
      </c>
      <c r="N79" s="28">
        <v>39.5</v>
      </c>
      <c r="O79" s="28" t="s">
        <v>104</v>
      </c>
      <c r="P79" s="28">
        <v>39.6</v>
      </c>
      <c r="Q79" s="28" t="s">
        <v>104</v>
      </c>
      <c r="R79" s="28" t="s">
        <v>104</v>
      </c>
      <c r="S79" s="28" t="s">
        <v>104</v>
      </c>
      <c r="T79" s="28">
        <v>37.299999999999997</v>
      </c>
      <c r="U79" s="28" t="s">
        <v>104</v>
      </c>
      <c r="V79" s="28" t="s">
        <v>104</v>
      </c>
      <c r="W79" s="28" t="s">
        <v>104</v>
      </c>
      <c r="X79" s="28">
        <v>40.799999999999997</v>
      </c>
      <c r="Y79" s="28" t="s">
        <v>104</v>
      </c>
      <c r="Z79" s="28">
        <v>37.4</v>
      </c>
      <c r="AA79" s="28">
        <v>35.299999999999997</v>
      </c>
      <c r="AB79" s="28" t="s">
        <v>104</v>
      </c>
      <c r="AC79" s="28">
        <v>39.6</v>
      </c>
      <c r="AD79" s="28">
        <v>37.5</v>
      </c>
      <c r="AE79" s="28" t="s">
        <v>104</v>
      </c>
    </row>
    <row r="80" spans="1:31" x14ac:dyDescent="0.15">
      <c r="A80" s="29">
        <v>79</v>
      </c>
      <c r="B80" s="34" t="s">
        <v>68</v>
      </c>
      <c r="C80" s="37">
        <v>45609</v>
      </c>
      <c r="D80" s="28">
        <v>37</v>
      </c>
      <c r="E80" s="28" t="s">
        <v>104</v>
      </c>
      <c r="F80" s="28">
        <v>40.799999999999997</v>
      </c>
      <c r="G80" s="28" t="s">
        <v>104</v>
      </c>
      <c r="H80" s="28" t="s">
        <v>104</v>
      </c>
      <c r="I80" s="28" t="s">
        <v>104</v>
      </c>
      <c r="J80" s="28" t="s">
        <v>104</v>
      </c>
      <c r="K80" s="28" t="s">
        <v>104</v>
      </c>
      <c r="L80" s="28">
        <v>39.1</v>
      </c>
      <c r="M80" s="28" t="s">
        <v>104</v>
      </c>
      <c r="N80" s="28">
        <v>41.6</v>
      </c>
      <c r="O80" s="28">
        <v>41.3</v>
      </c>
      <c r="P80" s="28" t="s">
        <v>104</v>
      </c>
      <c r="Q80" s="28" t="s">
        <v>104</v>
      </c>
      <c r="R80" s="28" t="s">
        <v>104</v>
      </c>
      <c r="S80" s="28" t="s">
        <v>104</v>
      </c>
      <c r="T80" s="28">
        <v>38.6</v>
      </c>
      <c r="U80" s="28" t="s">
        <v>104</v>
      </c>
      <c r="V80" s="28">
        <v>41.5</v>
      </c>
      <c r="W80" s="28" t="s">
        <v>104</v>
      </c>
      <c r="X80" s="28">
        <v>41.2</v>
      </c>
      <c r="Y80" s="28" t="s">
        <v>104</v>
      </c>
      <c r="Z80" s="28">
        <v>37.6</v>
      </c>
      <c r="AA80" s="28" t="s">
        <v>104</v>
      </c>
      <c r="AB80" s="28" t="s">
        <v>104</v>
      </c>
      <c r="AC80" s="28" t="s">
        <v>104</v>
      </c>
      <c r="AD80" s="28">
        <v>38</v>
      </c>
      <c r="AE80" s="28" t="s">
        <v>104</v>
      </c>
    </row>
    <row r="81" spans="1:31" x14ac:dyDescent="0.15">
      <c r="A81" s="29">
        <v>80</v>
      </c>
      <c r="B81" s="34" t="s">
        <v>69</v>
      </c>
      <c r="C81" s="37">
        <v>45613</v>
      </c>
      <c r="D81" s="28" t="s">
        <v>104</v>
      </c>
      <c r="E81" s="28" t="s">
        <v>104</v>
      </c>
      <c r="F81" s="28" t="s">
        <v>104</v>
      </c>
      <c r="G81" s="28" t="s">
        <v>104</v>
      </c>
      <c r="H81" s="28">
        <v>40.4</v>
      </c>
      <c r="I81" s="28" t="s">
        <v>104</v>
      </c>
      <c r="J81" s="28" t="s">
        <v>104</v>
      </c>
      <c r="K81" s="28" t="s">
        <v>104</v>
      </c>
      <c r="L81" s="28" t="s">
        <v>104</v>
      </c>
      <c r="M81" s="28" t="s">
        <v>104</v>
      </c>
      <c r="N81" s="28">
        <v>39.9</v>
      </c>
      <c r="O81" s="28" t="s">
        <v>104</v>
      </c>
      <c r="P81" s="28" t="s">
        <v>104</v>
      </c>
      <c r="Q81" s="28" t="s">
        <v>104</v>
      </c>
      <c r="R81" s="28" t="s">
        <v>104</v>
      </c>
      <c r="S81" s="28" t="s">
        <v>104</v>
      </c>
      <c r="T81" s="28">
        <v>38</v>
      </c>
      <c r="U81" s="28" t="s">
        <v>104</v>
      </c>
      <c r="V81" s="28">
        <v>42.2</v>
      </c>
      <c r="W81" s="28" t="s">
        <v>104</v>
      </c>
      <c r="X81" s="28" t="s">
        <v>104</v>
      </c>
      <c r="Y81" s="28" t="s">
        <v>104</v>
      </c>
      <c r="Z81" s="28">
        <v>40</v>
      </c>
      <c r="AA81" s="28" t="s">
        <v>104</v>
      </c>
      <c r="AB81" s="28" t="s">
        <v>104</v>
      </c>
      <c r="AC81" s="28" t="s">
        <v>104</v>
      </c>
      <c r="AD81" s="28" t="s">
        <v>104</v>
      </c>
      <c r="AE81" s="28" t="s">
        <v>104</v>
      </c>
    </row>
    <row r="82" spans="1:31" x14ac:dyDescent="0.15">
      <c r="A82" s="29">
        <v>81</v>
      </c>
      <c r="B82" s="34" t="s">
        <v>70</v>
      </c>
      <c r="C82" s="36" t="s">
        <v>71</v>
      </c>
      <c r="D82" s="28">
        <v>38.700000000000003</v>
      </c>
      <c r="E82" s="28">
        <v>30.4</v>
      </c>
      <c r="F82" s="28" t="s">
        <v>104</v>
      </c>
      <c r="G82" s="28" t="s">
        <v>104</v>
      </c>
      <c r="H82" s="28" t="s">
        <v>104</v>
      </c>
      <c r="I82" s="28" t="s">
        <v>104</v>
      </c>
      <c r="J82" s="28" t="s">
        <v>104</v>
      </c>
      <c r="K82" s="28" t="s">
        <v>104</v>
      </c>
      <c r="L82" s="28">
        <v>38.9</v>
      </c>
      <c r="M82" s="28" t="s">
        <v>104</v>
      </c>
      <c r="N82" s="28" t="s">
        <v>104</v>
      </c>
      <c r="O82" s="28">
        <v>39.5</v>
      </c>
      <c r="P82" s="28" t="s">
        <v>104</v>
      </c>
      <c r="Q82" s="28" t="s">
        <v>104</v>
      </c>
      <c r="R82" s="28" t="s">
        <v>104</v>
      </c>
      <c r="S82" s="28" t="s">
        <v>104</v>
      </c>
      <c r="T82" s="28">
        <v>38.1</v>
      </c>
      <c r="U82" s="28" t="s">
        <v>104</v>
      </c>
      <c r="V82" s="28">
        <v>39.700000000000003</v>
      </c>
      <c r="W82" s="28" t="s">
        <v>104</v>
      </c>
      <c r="X82" s="28" t="s">
        <v>104</v>
      </c>
      <c r="Y82" s="28" t="s">
        <v>104</v>
      </c>
      <c r="Z82" s="28">
        <v>37.9</v>
      </c>
      <c r="AA82" s="28">
        <v>40.299999999999997</v>
      </c>
      <c r="AB82" s="28" t="s">
        <v>104</v>
      </c>
      <c r="AC82" s="28" t="s">
        <v>104</v>
      </c>
      <c r="AD82" s="28" t="s">
        <v>104</v>
      </c>
      <c r="AE82" s="28" t="s">
        <v>104</v>
      </c>
    </row>
    <row r="83" spans="1:31" x14ac:dyDescent="0.15">
      <c r="A83" s="29">
        <v>82</v>
      </c>
      <c r="B83" s="34" t="s">
        <v>72</v>
      </c>
      <c r="C83" s="36" t="s">
        <v>73</v>
      </c>
      <c r="D83" s="28">
        <v>38.4</v>
      </c>
      <c r="E83" s="28" t="s">
        <v>104</v>
      </c>
      <c r="F83" s="28" t="s">
        <v>104</v>
      </c>
      <c r="G83" s="28" t="s">
        <v>104</v>
      </c>
      <c r="H83" s="28" t="s">
        <v>104</v>
      </c>
      <c r="I83" s="28" t="s">
        <v>104</v>
      </c>
      <c r="J83" s="28" t="s">
        <v>104</v>
      </c>
      <c r="K83" s="28" t="s">
        <v>104</v>
      </c>
      <c r="L83" s="28">
        <v>39.1</v>
      </c>
      <c r="M83" s="28" t="s">
        <v>104</v>
      </c>
      <c r="N83" s="28">
        <v>39.4</v>
      </c>
      <c r="O83" s="28" t="s">
        <v>104</v>
      </c>
      <c r="P83" s="28" t="s">
        <v>104</v>
      </c>
      <c r="Q83" s="28" t="s">
        <v>104</v>
      </c>
      <c r="R83" s="28" t="s">
        <v>104</v>
      </c>
      <c r="S83" s="28" t="s">
        <v>104</v>
      </c>
      <c r="T83" s="28">
        <v>41</v>
      </c>
      <c r="U83" s="28" t="s">
        <v>104</v>
      </c>
      <c r="V83" s="28">
        <v>42</v>
      </c>
      <c r="W83" s="28" t="s">
        <v>104</v>
      </c>
      <c r="X83" s="28" t="s">
        <v>104</v>
      </c>
      <c r="Y83" s="28" t="s">
        <v>104</v>
      </c>
      <c r="Z83" s="28">
        <v>38.799999999999997</v>
      </c>
      <c r="AA83" s="28" t="s">
        <v>104</v>
      </c>
      <c r="AB83" s="28" t="s">
        <v>104</v>
      </c>
      <c r="AC83" s="28" t="s">
        <v>104</v>
      </c>
      <c r="AD83" s="28">
        <v>39.1</v>
      </c>
      <c r="AE83" s="28" t="s">
        <v>104</v>
      </c>
    </row>
    <row r="84" spans="1:31" x14ac:dyDescent="0.15">
      <c r="A84" s="29">
        <v>83</v>
      </c>
      <c r="B84" s="31" t="s">
        <v>158</v>
      </c>
      <c r="C84" s="35">
        <v>45623</v>
      </c>
      <c r="D84" s="28">
        <v>39.1</v>
      </c>
      <c r="E84" s="28" t="s">
        <v>104</v>
      </c>
      <c r="F84" s="28" t="s">
        <v>104</v>
      </c>
      <c r="G84" s="28" t="s">
        <v>104</v>
      </c>
      <c r="H84" s="28" t="s">
        <v>104</v>
      </c>
      <c r="I84" s="28" t="s">
        <v>104</v>
      </c>
      <c r="J84" s="28" t="s">
        <v>104</v>
      </c>
      <c r="K84" s="28" t="s">
        <v>104</v>
      </c>
      <c r="L84" s="28">
        <v>38.6</v>
      </c>
      <c r="M84" s="28" t="s">
        <v>104</v>
      </c>
      <c r="N84" s="28">
        <v>40.5</v>
      </c>
      <c r="O84" s="28">
        <v>39.799999999999997</v>
      </c>
      <c r="P84" s="28" t="s">
        <v>104</v>
      </c>
      <c r="Q84" s="28" t="s">
        <v>104</v>
      </c>
      <c r="R84" s="28" t="s">
        <v>104</v>
      </c>
      <c r="S84" s="28" t="s">
        <v>104</v>
      </c>
      <c r="T84" s="28">
        <v>39.5</v>
      </c>
      <c r="U84" s="28" t="s">
        <v>104</v>
      </c>
      <c r="V84" s="28" t="s">
        <v>104</v>
      </c>
      <c r="W84" s="28" t="s">
        <v>104</v>
      </c>
      <c r="X84" s="28" t="s">
        <v>104</v>
      </c>
      <c r="Y84" s="28" t="s">
        <v>104</v>
      </c>
      <c r="Z84" s="28">
        <v>40.200000000000003</v>
      </c>
      <c r="AA84" s="28" t="s">
        <v>104</v>
      </c>
      <c r="AB84" s="28" t="s">
        <v>104</v>
      </c>
      <c r="AC84" s="28" t="s">
        <v>104</v>
      </c>
      <c r="AD84" s="28" t="s">
        <v>104</v>
      </c>
      <c r="AE84" s="28" t="s">
        <v>104</v>
      </c>
    </row>
    <row r="85" spans="1:31" x14ac:dyDescent="0.15">
      <c r="A85" s="29">
        <v>84</v>
      </c>
      <c r="B85" s="34" t="s">
        <v>74</v>
      </c>
      <c r="C85" s="36" t="s">
        <v>75</v>
      </c>
      <c r="D85" s="28">
        <v>39.299999999999997</v>
      </c>
      <c r="E85" s="28">
        <v>39.9</v>
      </c>
      <c r="F85" s="28">
        <v>42.1</v>
      </c>
      <c r="G85" s="28" t="s">
        <v>104</v>
      </c>
      <c r="H85" s="28" t="s">
        <v>104</v>
      </c>
      <c r="I85" s="28" t="s">
        <v>104</v>
      </c>
      <c r="J85" s="28" t="s">
        <v>104</v>
      </c>
      <c r="K85" s="28" t="s">
        <v>104</v>
      </c>
      <c r="L85" s="28">
        <v>39.200000000000003</v>
      </c>
      <c r="M85" s="28" t="s">
        <v>104</v>
      </c>
      <c r="N85" s="28">
        <v>40.6</v>
      </c>
      <c r="O85" s="28">
        <v>42.2</v>
      </c>
      <c r="P85" s="28">
        <v>40.4</v>
      </c>
      <c r="Q85" s="28" t="s">
        <v>104</v>
      </c>
      <c r="R85" s="28" t="s">
        <v>104</v>
      </c>
      <c r="S85" s="28" t="s">
        <v>104</v>
      </c>
      <c r="T85" s="28">
        <v>39.5</v>
      </c>
      <c r="U85" s="28" t="s">
        <v>104</v>
      </c>
      <c r="V85" s="28">
        <v>42.5</v>
      </c>
      <c r="W85" s="28" t="s">
        <v>104</v>
      </c>
      <c r="X85" s="28" t="s">
        <v>104</v>
      </c>
      <c r="Y85" s="28" t="s">
        <v>104</v>
      </c>
      <c r="Z85" s="28">
        <v>40.4</v>
      </c>
      <c r="AA85" s="28" t="s">
        <v>104</v>
      </c>
      <c r="AB85" s="28" t="s">
        <v>104</v>
      </c>
      <c r="AC85" s="28" t="s">
        <v>104</v>
      </c>
      <c r="AD85" s="28">
        <v>41.2</v>
      </c>
      <c r="AE85" s="28" t="s">
        <v>104</v>
      </c>
    </row>
    <row r="86" spans="1:31" x14ac:dyDescent="0.15">
      <c r="A86" s="29">
        <v>85</v>
      </c>
      <c r="B86" s="34" t="s">
        <v>76</v>
      </c>
      <c r="C86" s="36" t="s">
        <v>77</v>
      </c>
      <c r="D86" s="28">
        <v>37.299999999999997</v>
      </c>
      <c r="E86" s="28" t="s">
        <v>104</v>
      </c>
      <c r="F86" s="28" t="s">
        <v>104</v>
      </c>
      <c r="G86" s="28" t="s">
        <v>104</v>
      </c>
      <c r="H86" s="28" t="s">
        <v>104</v>
      </c>
      <c r="I86" s="28" t="s">
        <v>104</v>
      </c>
      <c r="J86" s="28" t="s">
        <v>104</v>
      </c>
      <c r="K86" s="28" t="s">
        <v>104</v>
      </c>
      <c r="L86" s="28">
        <v>39.799999999999997</v>
      </c>
      <c r="M86" s="28" t="s">
        <v>104</v>
      </c>
      <c r="N86" s="28" t="s">
        <v>104</v>
      </c>
      <c r="O86" s="28">
        <v>41.4</v>
      </c>
      <c r="P86" s="28">
        <v>39.1</v>
      </c>
      <c r="Q86" s="28" t="s">
        <v>104</v>
      </c>
      <c r="R86" s="28" t="s">
        <v>104</v>
      </c>
      <c r="S86" s="28" t="s">
        <v>104</v>
      </c>
      <c r="T86" s="28">
        <v>39.6</v>
      </c>
      <c r="U86" s="28" t="s">
        <v>104</v>
      </c>
      <c r="V86" s="28" t="s">
        <v>104</v>
      </c>
      <c r="W86" s="28" t="s">
        <v>104</v>
      </c>
      <c r="X86" s="28" t="s">
        <v>104</v>
      </c>
      <c r="Y86" s="28" t="s">
        <v>104</v>
      </c>
      <c r="Z86" s="28">
        <v>38.200000000000003</v>
      </c>
      <c r="AA86" s="28" t="s">
        <v>104</v>
      </c>
      <c r="AB86" s="28" t="s">
        <v>104</v>
      </c>
      <c r="AC86" s="28" t="s">
        <v>104</v>
      </c>
      <c r="AD86" s="28">
        <v>39.1</v>
      </c>
      <c r="AE86" s="28" t="s">
        <v>104</v>
      </c>
    </row>
    <row r="87" spans="1:31" x14ac:dyDescent="0.15">
      <c r="A87" s="29">
        <v>86</v>
      </c>
      <c r="B87" s="34" t="s">
        <v>78</v>
      </c>
      <c r="C87" s="36" t="s">
        <v>79</v>
      </c>
      <c r="D87" s="28">
        <v>38.1</v>
      </c>
      <c r="E87" s="28" t="s">
        <v>104</v>
      </c>
      <c r="F87" s="28">
        <v>41.1</v>
      </c>
      <c r="G87" s="28" t="s">
        <v>104</v>
      </c>
      <c r="H87" s="28" t="s">
        <v>104</v>
      </c>
      <c r="I87" s="28" t="s">
        <v>104</v>
      </c>
      <c r="J87" s="28" t="s">
        <v>104</v>
      </c>
      <c r="K87" s="28" t="s">
        <v>104</v>
      </c>
      <c r="L87" s="28">
        <v>40.700000000000003</v>
      </c>
      <c r="M87" s="28" t="s">
        <v>104</v>
      </c>
      <c r="N87" s="28">
        <v>42.9</v>
      </c>
      <c r="O87" s="28" t="s">
        <v>104</v>
      </c>
      <c r="P87" s="28" t="s">
        <v>104</v>
      </c>
      <c r="Q87" s="28" t="s">
        <v>104</v>
      </c>
      <c r="R87" s="28" t="s">
        <v>104</v>
      </c>
      <c r="S87" s="28" t="s">
        <v>104</v>
      </c>
      <c r="T87" s="28">
        <v>38.700000000000003</v>
      </c>
      <c r="U87" s="28" t="s">
        <v>104</v>
      </c>
      <c r="V87" s="28" t="s">
        <v>104</v>
      </c>
      <c r="W87" s="28" t="s">
        <v>104</v>
      </c>
      <c r="X87" s="28">
        <v>39.799999999999997</v>
      </c>
      <c r="Y87" s="28" t="s">
        <v>104</v>
      </c>
      <c r="Z87" s="28">
        <v>38.5</v>
      </c>
      <c r="AA87" s="28" t="s">
        <v>104</v>
      </c>
      <c r="AB87" s="28" t="s">
        <v>104</v>
      </c>
      <c r="AC87" s="28" t="s">
        <v>104</v>
      </c>
      <c r="AD87" s="28">
        <v>38.9</v>
      </c>
      <c r="AE87" s="28" t="s">
        <v>104</v>
      </c>
    </row>
    <row r="88" spans="1:31" x14ac:dyDescent="0.15">
      <c r="A88" s="29">
        <v>87</v>
      </c>
      <c r="B88" s="34" t="s">
        <v>80</v>
      </c>
      <c r="C88" s="37">
        <v>45637</v>
      </c>
      <c r="D88" s="28">
        <v>39.299999999999997</v>
      </c>
      <c r="E88" s="28" t="s">
        <v>104</v>
      </c>
      <c r="F88" s="28" t="s">
        <v>104</v>
      </c>
      <c r="G88" s="28" t="s">
        <v>104</v>
      </c>
      <c r="H88" s="28" t="s">
        <v>104</v>
      </c>
      <c r="I88" s="28" t="s">
        <v>104</v>
      </c>
      <c r="J88" s="28" t="s">
        <v>104</v>
      </c>
      <c r="K88" s="28" t="s">
        <v>104</v>
      </c>
      <c r="L88" s="28">
        <v>40.799999999999997</v>
      </c>
      <c r="M88" s="28" t="s">
        <v>104</v>
      </c>
      <c r="N88" s="28">
        <v>38.299999999999997</v>
      </c>
      <c r="O88" s="28">
        <v>40.9</v>
      </c>
      <c r="P88" s="28" t="s">
        <v>104</v>
      </c>
      <c r="Q88" s="28" t="s">
        <v>104</v>
      </c>
      <c r="R88" s="28" t="s">
        <v>104</v>
      </c>
      <c r="S88" s="28" t="s">
        <v>104</v>
      </c>
      <c r="T88" s="28">
        <v>41.2</v>
      </c>
      <c r="U88" s="28" t="s">
        <v>104</v>
      </c>
      <c r="V88" s="28" t="s">
        <v>104</v>
      </c>
      <c r="W88" s="28" t="s">
        <v>104</v>
      </c>
      <c r="X88" s="28" t="s">
        <v>104</v>
      </c>
      <c r="Y88" s="28" t="s">
        <v>104</v>
      </c>
      <c r="Z88" s="28">
        <v>38.1</v>
      </c>
      <c r="AA88" s="28" t="s">
        <v>104</v>
      </c>
      <c r="AB88" s="28" t="s">
        <v>104</v>
      </c>
      <c r="AC88" s="28">
        <v>41.1</v>
      </c>
      <c r="AD88" s="28">
        <v>41.6</v>
      </c>
      <c r="AE88" s="28" t="s">
        <v>104</v>
      </c>
    </row>
    <row r="89" spans="1:31" x14ac:dyDescent="0.15">
      <c r="A89" s="29">
        <v>88</v>
      </c>
      <c r="B89" s="34" t="s">
        <v>81</v>
      </c>
      <c r="C89" s="36" t="s">
        <v>82</v>
      </c>
      <c r="D89" s="28">
        <v>38.5</v>
      </c>
      <c r="E89" s="28">
        <v>35</v>
      </c>
      <c r="F89" s="28">
        <v>42</v>
      </c>
      <c r="G89" s="28" t="s">
        <v>104</v>
      </c>
      <c r="H89" s="28" t="s">
        <v>104</v>
      </c>
      <c r="I89" s="28" t="s">
        <v>104</v>
      </c>
      <c r="J89" s="28" t="s">
        <v>104</v>
      </c>
      <c r="K89" s="28" t="s">
        <v>104</v>
      </c>
      <c r="L89" s="28">
        <v>41.6</v>
      </c>
      <c r="M89" s="28" t="s">
        <v>104</v>
      </c>
      <c r="N89" s="28">
        <v>39.6</v>
      </c>
      <c r="O89" s="28" t="s">
        <v>104</v>
      </c>
      <c r="P89" s="28" t="s">
        <v>104</v>
      </c>
      <c r="Q89" s="28" t="s">
        <v>104</v>
      </c>
      <c r="R89" s="28" t="s">
        <v>104</v>
      </c>
      <c r="S89" s="28" t="s">
        <v>104</v>
      </c>
      <c r="T89" s="28">
        <v>41.2</v>
      </c>
      <c r="U89" s="28" t="s">
        <v>104</v>
      </c>
      <c r="V89" s="28">
        <v>40.299999999999997</v>
      </c>
      <c r="W89" s="28" t="s">
        <v>104</v>
      </c>
      <c r="X89" s="28" t="s">
        <v>104</v>
      </c>
      <c r="Y89" s="28" t="s">
        <v>104</v>
      </c>
      <c r="Z89" s="28">
        <v>39.200000000000003</v>
      </c>
      <c r="AA89" s="28" t="s">
        <v>104</v>
      </c>
      <c r="AB89" s="28" t="s">
        <v>104</v>
      </c>
      <c r="AC89" s="28" t="s">
        <v>104</v>
      </c>
      <c r="AD89" s="28" t="s">
        <v>104</v>
      </c>
      <c r="AE89" s="28" t="s">
        <v>104</v>
      </c>
    </row>
    <row r="90" spans="1:31" x14ac:dyDescent="0.15">
      <c r="A90" s="29">
        <v>89</v>
      </c>
      <c r="B90" s="34" t="s">
        <v>83</v>
      </c>
      <c r="C90" s="36" t="s">
        <v>84</v>
      </c>
      <c r="D90" s="28" t="s">
        <v>104</v>
      </c>
      <c r="E90" s="28" t="s">
        <v>104</v>
      </c>
      <c r="F90" s="28" t="s">
        <v>104</v>
      </c>
      <c r="G90" s="28" t="s">
        <v>104</v>
      </c>
      <c r="H90" s="28" t="s">
        <v>104</v>
      </c>
      <c r="I90" s="28" t="s">
        <v>104</v>
      </c>
      <c r="J90" s="28" t="s">
        <v>104</v>
      </c>
      <c r="K90" s="28" t="s">
        <v>104</v>
      </c>
      <c r="L90" s="28">
        <v>39.200000000000003</v>
      </c>
      <c r="M90" s="28">
        <v>40</v>
      </c>
      <c r="N90" s="28" t="s">
        <v>104</v>
      </c>
      <c r="O90" s="28" t="s">
        <v>104</v>
      </c>
      <c r="P90" s="28" t="s">
        <v>104</v>
      </c>
      <c r="Q90" s="28">
        <v>41.6</v>
      </c>
      <c r="R90" s="28" t="s">
        <v>104</v>
      </c>
      <c r="S90" s="28" t="s">
        <v>104</v>
      </c>
      <c r="T90" s="28">
        <v>41.1</v>
      </c>
      <c r="U90" s="28" t="s">
        <v>104</v>
      </c>
      <c r="V90" s="28">
        <v>41.6</v>
      </c>
      <c r="W90" s="28" t="s">
        <v>104</v>
      </c>
      <c r="X90" s="28" t="s">
        <v>104</v>
      </c>
      <c r="Y90" s="28" t="s">
        <v>104</v>
      </c>
      <c r="Z90" s="28">
        <v>37.9</v>
      </c>
      <c r="AA90" s="28" t="s">
        <v>104</v>
      </c>
      <c r="AB90" s="28" t="s">
        <v>104</v>
      </c>
      <c r="AC90" s="28" t="s">
        <v>104</v>
      </c>
      <c r="AD90" s="28" t="s">
        <v>104</v>
      </c>
      <c r="AE90" s="28" t="s">
        <v>104</v>
      </c>
    </row>
    <row r="91" spans="1:31" x14ac:dyDescent="0.15">
      <c r="A91" s="29">
        <v>90</v>
      </c>
      <c r="B91" s="34" t="s">
        <v>85</v>
      </c>
      <c r="C91" s="36" t="s">
        <v>86</v>
      </c>
      <c r="D91" s="28">
        <v>36.700000000000003</v>
      </c>
      <c r="E91" s="28" t="s">
        <v>104</v>
      </c>
      <c r="F91" s="28" t="s">
        <v>104</v>
      </c>
      <c r="G91" s="28" t="s">
        <v>104</v>
      </c>
      <c r="H91" s="28" t="s">
        <v>104</v>
      </c>
      <c r="I91" s="28" t="s">
        <v>104</v>
      </c>
      <c r="J91" s="28" t="s">
        <v>104</v>
      </c>
      <c r="K91" s="28" t="s">
        <v>104</v>
      </c>
      <c r="L91" s="28">
        <v>40.299999999999997</v>
      </c>
      <c r="M91" s="28" t="s">
        <v>104</v>
      </c>
      <c r="N91" s="28" t="s">
        <v>104</v>
      </c>
      <c r="O91" s="28">
        <v>41.1</v>
      </c>
      <c r="P91" s="28">
        <v>37.6</v>
      </c>
      <c r="Q91" s="28" t="s">
        <v>104</v>
      </c>
      <c r="R91" s="28" t="s">
        <v>104</v>
      </c>
      <c r="S91" s="28" t="s">
        <v>104</v>
      </c>
      <c r="T91" s="28">
        <v>40</v>
      </c>
      <c r="U91" s="28">
        <v>41</v>
      </c>
      <c r="V91" s="28" t="s">
        <v>104</v>
      </c>
      <c r="W91" s="28" t="s">
        <v>104</v>
      </c>
      <c r="X91" s="28" t="s">
        <v>104</v>
      </c>
      <c r="Y91" s="28" t="s">
        <v>104</v>
      </c>
      <c r="Z91" s="28">
        <v>39.5</v>
      </c>
      <c r="AA91" s="28">
        <v>39.4</v>
      </c>
      <c r="AB91" s="28" t="s">
        <v>104</v>
      </c>
      <c r="AC91" s="28" t="s">
        <v>104</v>
      </c>
      <c r="AD91" s="28">
        <v>41.1</v>
      </c>
      <c r="AE91" s="28" t="s">
        <v>104</v>
      </c>
    </row>
    <row r="92" spans="1:31" x14ac:dyDescent="0.15">
      <c r="A92" s="29">
        <v>91</v>
      </c>
      <c r="B92" s="31" t="s">
        <v>159</v>
      </c>
      <c r="C92" s="35">
        <v>45651</v>
      </c>
      <c r="D92" s="28">
        <v>39.4</v>
      </c>
      <c r="E92" s="28" t="s">
        <v>104</v>
      </c>
      <c r="F92" s="28" t="s">
        <v>104</v>
      </c>
      <c r="G92" s="28" t="s">
        <v>104</v>
      </c>
      <c r="H92" s="28" t="s">
        <v>104</v>
      </c>
      <c r="I92" s="28" t="s">
        <v>104</v>
      </c>
      <c r="J92" s="28" t="s">
        <v>104</v>
      </c>
      <c r="K92" s="28" t="s">
        <v>104</v>
      </c>
      <c r="L92" s="28" t="s">
        <v>104</v>
      </c>
      <c r="M92" s="28" t="s">
        <v>104</v>
      </c>
      <c r="N92" s="28" t="s">
        <v>104</v>
      </c>
      <c r="O92" s="28" t="s">
        <v>104</v>
      </c>
      <c r="P92" s="28" t="s">
        <v>104</v>
      </c>
      <c r="Q92" s="28" t="s">
        <v>104</v>
      </c>
      <c r="R92" s="28" t="s">
        <v>104</v>
      </c>
      <c r="S92" s="28" t="s">
        <v>104</v>
      </c>
      <c r="T92" s="28">
        <v>40.299999999999997</v>
      </c>
      <c r="U92" s="28" t="s">
        <v>104</v>
      </c>
      <c r="V92" s="28" t="s">
        <v>104</v>
      </c>
      <c r="W92" s="28" t="s">
        <v>104</v>
      </c>
      <c r="X92" s="28" t="s">
        <v>104</v>
      </c>
      <c r="Y92" s="28" t="s">
        <v>104</v>
      </c>
      <c r="Z92" s="28">
        <v>39.5</v>
      </c>
      <c r="AA92" s="28" t="s">
        <v>104</v>
      </c>
      <c r="AB92" s="28" t="s">
        <v>104</v>
      </c>
      <c r="AC92" s="28" t="s">
        <v>104</v>
      </c>
      <c r="AD92" s="28" t="s">
        <v>104</v>
      </c>
      <c r="AE92" s="28" t="s">
        <v>104</v>
      </c>
    </row>
    <row r="93" spans="1:31" x14ac:dyDescent="0.15">
      <c r="A93" s="29">
        <v>92</v>
      </c>
      <c r="B93" s="34" t="s">
        <v>87</v>
      </c>
      <c r="C93" s="36" t="s">
        <v>88</v>
      </c>
      <c r="D93" s="28">
        <v>37.200000000000003</v>
      </c>
      <c r="E93" s="28" t="s">
        <v>104</v>
      </c>
      <c r="F93" s="28">
        <v>39.700000000000003</v>
      </c>
      <c r="G93" s="28" t="s">
        <v>104</v>
      </c>
      <c r="H93" s="28" t="s">
        <v>104</v>
      </c>
      <c r="I93" s="28" t="s">
        <v>104</v>
      </c>
      <c r="J93" s="28" t="s">
        <v>104</v>
      </c>
      <c r="K93" s="28" t="s">
        <v>104</v>
      </c>
      <c r="L93" s="28">
        <v>39.700000000000003</v>
      </c>
      <c r="M93" s="28" t="s">
        <v>104</v>
      </c>
      <c r="N93" s="28">
        <v>39.1</v>
      </c>
      <c r="O93" s="28">
        <v>42.3</v>
      </c>
      <c r="P93" s="28">
        <v>40.299999999999997</v>
      </c>
      <c r="Q93" s="28" t="s">
        <v>104</v>
      </c>
      <c r="R93" s="28" t="s">
        <v>104</v>
      </c>
      <c r="S93" s="28" t="s">
        <v>104</v>
      </c>
      <c r="T93" s="28">
        <v>39.1</v>
      </c>
      <c r="U93" s="28">
        <v>39.1</v>
      </c>
      <c r="V93" s="28" t="s">
        <v>104</v>
      </c>
      <c r="W93" s="28" t="s">
        <v>104</v>
      </c>
      <c r="X93" s="28" t="s">
        <v>104</v>
      </c>
      <c r="Y93" s="28" t="s">
        <v>104</v>
      </c>
      <c r="Z93" s="28">
        <v>37.9</v>
      </c>
      <c r="AA93" s="28" t="s">
        <v>104</v>
      </c>
      <c r="AB93" s="28" t="s">
        <v>104</v>
      </c>
      <c r="AC93" s="28">
        <v>41.6</v>
      </c>
      <c r="AD93" s="28">
        <v>40.799999999999997</v>
      </c>
      <c r="AE93" s="28" t="s">
        <v>104</v>
      </c>
    </row>
    <row r="94" spans="1:31" x14ac:dyDescent="0.15">
      <c r="A94" s="29">
        <v>93</v>
      </c>
      <c r="B94" s="34" t="s">
        <v>89</v>
      </c>
      <c r="C94" s="36" t="s">
        <v>90</v>
      </c>
      <c r="D94" s="28" t="s">
        <v>104</v>
      </c>
      <c r="E94" s="28" t="s">
        <v>104</v>
      </c>
      <c r="F94" s="28" t="s">
        <v>104</v>
      </c>
      <c r="G94" s="28" t="s">
        <v>104</v>
      </c>
      <c r="H94" s="28" t="s">
        <v>104</v>
      </c>
      <c r="I94" s="28" t="s">
        <v>104</v>
      </c>
      <c r="J94" s="28" t="s">
        <v>104</v>
      </c>
      <c r="K94" s="28" t="s">
        <v>104</v>
      </c>
      <c r="L94" s="28">
        <v>41.6</v>
      </c>
      <c r="M94" s="28" t="s">
        <v>104</v>
      </c>
      <c r="N94" s="28">
        <v>41.7</v>
      </c>
      <c r="O94" s="28">
        <v>38.200000000000003</v>
      </c>
      <c r="P94" s="28" t="s">
        <v>104</v>
      </c>
      <c r="Q94" s="28" t="s">
        <v>104</v>
      </c>
      <c r="R94" s="28" t="s">
        <v>104</v>
      </c>
      <c r="S94" s="28" t="s">
        <v>104</v>
      </c>
      <c r="T94" s="28">
        <v>40.1</v>
      </c>
      <c r="U94" s="28" t="s">
        <v>104</v>
      </c>
      <c r="V94" s="28" t="s">
        <v>104</v>
      </c>
      <c r="W94" s="28" t="s">
        <v>104</v>
      </c>
      <c r="X94" s="28">
        <v>41.6</v>
      </c>
      <c r="Y94" s="28" t="s">
        <v>104</v>
      </c>
      <c r="Z94" s="28">
        <v>37.9</v>
      </c>
      <c r="AA94" s="28">
        <v>40.4</v>
      </c>
      <c r="AB94" s="28" t="s">
        <v>104</v>
      </c>
      <c r="AC94" s="28" t="s">
        <v>104</v>
      </c>
      <c r="AD94" s="28" t="s">
        <v>104</v>
      </c>
      <c r="AE94" s="28" t="s">
        <v>104</v>
      </c>
    </row>
    <row r="95" spans="1:31" x14ac:dyDescent="0.15">
      <c r="A95" s="29">
        <v>94</v>
      </c>
      <c r="B95" s="34" t="s">
        <v>91</v>
      </c>
      <c r="C95" s="36" t="s">
        <v>92</v>
      </c>
      <c r="D95" s="28">
        <v>34.700000000000003</v>
      </c>
      <c r="E95" s="28">
        <v>37.6</v>
      </c>
      <c r="F95" s="28" t="s">
        <v>104</v>
      </c>
      <c r="G95" s="28" t="s">
        <v>104</v>
      </c>
      <c r="H95" s="28" t="s">
        <v>104</v>
      </c>
      <c r="I95" s="28" t="s">
        <v>104</v>
      </c>
      <c r="J95" s="28" t="s">
        <v>104</v>
      </c>
      <c r="K95" s="31">
        <v>39.700000000000003</v>
      </c>
      <c r="L95" s="28">
        <v>39.1</v>
      </c>
      <c r="M95" s="28" t="s">
        <v>104</v>
      </c>
      <c r="N95" s="28">
        <v>39.9</v>
      </c>
      <c r="O95" s="28">
        <v>41.5</v>
      </c>
      <c r="P95" s="28">
        <v>41.3</v>
      </c>
      <c r="Q95" s="31" t="s">
        <v>104</v>
      </c>
      <c r="R95" s="28" t="s">
        <v>104</v>
      </c>
      <c r="S95" s="28" t="s">
        <v>104</v>
      </c>
      <c r="T95" s="28">
        <v>40.299999999999997</v>
      </c>
      <c r="U95" s="28" t="s">
        <v>104</v>
      </c>
      <c r="V95" s="28" t="s">
        <v>104</v>
      </c>
      <c r="W95" s="28" t="s">
        <v>104</v>
      </c>
      <c r="X95" s="28" t="s">
        <v>104</v>
      </c>
      <c r="Y95" s="28" t="s">
        <v>104</v>
      </c>
      <c r="Z95" s="28">
        <v>39</v>
      </c>
      <c r="AA95" s="28" t="s">
        <v>104</v>
      </c>
      <c r="AB95" s="28" t="s">
        <v>104</v>
      </c>
      <c r="AC95" s="28" t="s">
        <v>104</v>
      </c>
      <c r="AD95" s="28">
        <v>41.3</v>
      </c>
      <c r="AE95" s="28" t="s">
        <v>104</v>
      </c>
    </row>
    <row r="96" spans="1:31" x14ac:dyDescent="0.15">
      <c r="A96" s="29">
        <v>95</v>
      </c>
      <c r="B96" s="34" t="s">
        <v>93</v>
      </c>
      <c r="C96" s="37">
        <v>45665</v>
      </c>
      <c r="D96" s="28">
        <v>37.4</v>
      </c>
      <c r="E96" s="28">
        <v>39.6</v>
      </c>
      <c r="F96" s="28" t="s">
        <v>104</v>
      </c>
      <c r="G96" s="28" t="s">
        <v>104</v>
      </c>
      <c r="H96" s="28" t="s">
        <v>104</v>
      </c>
      <c r="I96" s="28" t="s">
        <v>104</v>
      </c>
      <c r="J96" s="28" t="s">
        <v>104</v>
      </c>
      <c r="K96" s="28">
        <v>39.1</v>
      </c>
      <c r="L96" s="28">
        <v>39.6</v>
      </c>
      <c r="M96" s="28" t="s">
        <v>104</v>
      </c>
      <c r="N96" s="28">
        <v>38.9</v>
      </c>
      <c r="O96" s="28">
        <v>41.4</v>
      </c>
      <c r="P96" s="28">
        <v>40.299999999999997</v>
      </c>
      <c r="Q96" s="28" t="s">
        <v>104</v>
      </c>
      <c r="R96" s="28" t="s">
        <v>104</v>
      </c>
      <c r="S96" s="28" t="s">
        <v>104</v>
      </c>
      <c r="T96" s="28">
        <v>37.4</v>
      </c>
      <c r="U96" s="28" t="s">
        <v>104</v>
      </c>
      <c r="V96" s="28">
        <v>40.4</v>
      </c>
      <c r="W96" s="28" t="s">
        <v>104</v>
      </c>
      <c r="X96" s="28" t="s">
        <v>104</v>
      </c>
      <c r="Y96" s="28" t="s">
        <v>104</v>
      </c>
      <c r="Z96" s="28">
        <v>37.6</v>
      </c>
      <c r="AA96" s="28" t="s">
        <v>104</v>
      </c>
      <c r="AB96" s="28" t="s">
        <v>104</v>
      </c>
      <c r="AC96" s="28">
        <v>40.9</v>
      </c>
      <c r="AD96" s="28" t="s">
        <v>104</v>
      </c>
      <c r="AE96" s="28" t="s">
        <v>104</v>
      </c>
    </row>
    <row r="97" spans="1:32" x14ac:dyDescent="0.15">
      <c r="A97" s="29">
        <v>96</v>
      </c>
      <c r="B97" s="34" t="s">
        <v>94</v>
      </c>
      <c r="C97" s="37">
        <v>45669</v>
      </c>
      <c r="D97" s="28">
        <v>40.1</v>
      </c>
      <c r="E97" s="28" t="s">
        <v>104</v>
      </c>
      <c r="F97" s="28" t="s">
        <v>104</v>
      </c>
      <c r="G97" s="28" t="s">
        <v>104</v>
      </c>
      <c r="H97" s="28" t="s">
        <v>104</v>
      </c>
      <c r="I97" s="28" t="s">
        <v>104</v>
      </c>
      <c r="J97" s="28" t="s">
        <v>104</v>
      </c>
      <c r="K97" s="28" t="s">
        <v>104</v>
      </c>
      <c r="L97" s="28" t="s">
        <v>104</v>
      </c>
      <c r="M97" s="28" t="s">
        <v>104</v>
      </c>
      <c r="N97" s="28" t="s">
        <v>104</v>
      </c>
      <c r="O97" s="28">
        <v>40</v>
      </c>
      <c r="P97" s="28" t="s">
        <v>104</v>
      </c>
      <c r="Q97" s="28" t="s">
        <v>104</v>
      </c>
      <c r="R97" s="28" t="s">
        <v>104</v>
      </c>
      <c r="S97" s="28" t="s">
        <v>104</v>
      </c>
      <c r="T97" s="28">
        <v>40.700000000000003</v>
      </c>
      <c r="U97" s="28" t="s">
        <v>104</v>
      </c>
      <c r="V97" s="28" t="s">
        <v>104</v>
      </c>
      <c r="W97" s="28" t="s">
        <v>104</v>
      </c>
      <c r="X97" s="28">
        <v>38.700000000000003</v>
      </c>
      <c r="Y97" s="28" t="s">
        <v>104</v>
      </c>
      <c r="Z97" s="28">
        <v>40.799999999999997</v>
      </c>
      <c r="AA97" s="28" t="s">
        <v>104</v>
      </c>
      <c r="AB97" s="28" t="s">
        <v>104</v>
      </c>
      <c r="AC97" s="28" t="s">
        <v>104</v>
      </c>
      <c r="AD97" s="28" t="s">
        <v>104</v>
      </c>
      <c r="AE97" s="28" t="s">
        <v>104</v>
      </c>
    </row>
    <row r="98" spans="1:32" x14ac:dyDescent="0.15">
      <c r="A98" s="29">
        <v>97</v>
      </c>
      <c r="B98" s="34" t="s">
        <v>95</v>
      </c>
      <c r="C98" s="36" t="s">
        <v>96</v>
      </c>
      <c r="D98" s="28">
        <v>35.700000000000003</v>
      </c>
      <c r="E98" s="28" t="s">
        <v>104</v>
      </c>
      <c r="F98" s="28" t="s">
        <v>104</v>
      </c>
      <c r="G98" s="28" t="s">
        <v>104</v>
      </c>
      <c r="H98" s="28" t="s">
        <v>104</v>
      </c>
      <c r="I98" s="28" t="s">
        <v>104</v>
      </c>
      <c r="J98" s="28" t="s">
        <v>104</v>
      </c>
      <c r="K98" s="28" t="s">
        <v>104</v>
      </c>
      <c r="L98" s="28">
        <v>41.6</v>
      </c>
      <c r="M98" s="28" t="s">
        <v>104</v>
      </c>
      <c r="N98" s="28" t="s">
        <v>104</v>
      </c>
      <c r="O98" s="28" t="s">
        <v>104</v>
      </c>
      <c r="P98" s="28">
        <v>35.700000000000003</v>
      </c>
      <c r="Q98" s="28">
        <v>40.1</v>
      </c>
      <c r="R98" s="28" t="s">
        <v>104</v>
      </c>
      <c r="S98" s="28" t="s">
        <v>104</v>
      </c>
      <c r="T98" s="28">
        <v>39.299999999999997</v>
      </c>
      <c r="U98" s="28" t="s">
        <v>104</v>
      </c>
      <c r="V98" s="28">
        <v>39.9</v>
      </c>
      <c r="W98" s="28" t="s">
        <v>104</v>
      </c>
      <c r="X98" s="28" t="s">
        <v>104</v>
      </c>
      <c r="Y98" s="28" t="s">
        <v>104</v>
      </c>
      <c r="Z98" s="28">
        <v>42.8</v>
      </c>
      <c r="AA98" s="28" t="s">
        <v>104</v>
      </c>
      <c r="AB98" s="28" t="s">
        <v>104</v>
      </c>
      <c r="AC98" s="28" t="s">
        <v>104</v>
      </c>
      <c r="AD98" s="28">
        <v>38.9</v>
      </c>
      <c r="AE98" s="28" t="s">
        <v>104</v>
      </c>
      <c r="AF98" s="30"/>
    </row>
    <row r="99" spans="1:32" x14ac:dyDescent="0.15">
      <c r="A99" s="29">
        <v>98</v>
      </c>
      <c r="B99" s="34" t="s">
        <v>97</v>
      </c>
      <c r="C99" s="37">
        <v>45676</v>
      </c>
      <c r="D99" s="28">
        <v>37.5</v>
      </c>
      <c r="E99" s="28" t="s">
        <v>104</v>
      </c>
      <c r="F99" s="28">
        <v>39.9</v>
      </c>
      <c r="G99" s="28">
        <v>35.299999999999997</v>
      </c>
      <c r="H99" s="28" t="s">
        <v>104</v>
      </c>
      <c r="I99" s="28" t="s">
        <v>104</v>
      </c>
      <c r="J99" s="28">
        <v>40.9</v>
      </c>
      <c r="K99" s="28" t="s">
        <v>104</v>
      </c>
      <c r="L99" s="28" t="s">
        <v>174</v>
      </c>
      <c r="M99" s="28" t="s">
        <v>104</v>
      </c>
      <c r="N99" s="28">
        <v>42.4</v>
      </c>
      <c r="O99" s="28" t="s">
        <v>104</v>
      </c>
      <c r="P99" s="28" t="s">
        <v>104</v>
      </c>
      <c r="Q99" s="28" t="s">
        <v>104</v>
      </c>
      <c r="R99" s="28" t="s">
        <v>104</v>
      </c>
      <c r="S99" s="28" t="s">
        <v>104</v>
      </c>
      <c r="T99" s="28">
        <v>39.6</v>
      </c>
      <c r="U99" s="28">
        <v>40.5</v>
      </c>
      <c r="V99" s="28">
        <v>41.5</v>
      </c>
      <c r="W99" s="28" t="s">
        <v>104</v>
      </c>
      <c r="X99" s="28" t="s">
        <v>104</v>
      </c>
      <c r="Y99" s="28" t="s">
        <v>104</v>
      </c>
      <c r="Z99" s="28">
        <v>37.299999999999997</v>
      </c>
      <c r="AA99" s="28" t="s">
        <v>104</v>
      </c>
      <c r="AB99" s="28" t="s">
        <v>104</v>
      </c>
      <c r="AC99" s="28" t="s">
        <v>104</v>
      </c>
      <c r="AD99" s="28">
        <v>39</v>
      </c>
      <c r="AE99" s="28" t="s">
        <v>104</v>
      </c>
    </row>
    <row r="100" spans="1:32" x14ac:dyDescent="0.15">
      <c r="A100" s="29">
        <v>99</v>
      </c>
      <c r="B100" s="34" t="s">
        <v>98</v>
      </c>
      <c r="C100" s="37">
        <v>45679</v>
      </c>
      <c r="D100" s="28">
        <v>37.299999999999997</v>
      </c>
      <c r="E100" s="28" t="s">
        <v>104</v>
      </c>
      <c r="F100" s="28" t="s">
        <v>104</v>
      </c>
      <c r="G100" s="28" t="s">
        <v>104</v>
      </c>
      <c r="H100" s="28" t="s">
        <v>104</v>
      </c>
      <c r="I100" s="28" t="s">
        <v>104</v>
      </c>
      <c r="J100" s="28" t="s">
        <v>104</v>
      </c>
      <c r="K100" s="28" t="s">
        <v>104</v>
      </c>
      <c r="L100" s="28">
        <v>40.799999999999997</v>
      </c>
      <c r="M100" s="28" t="s">
        <v>104</v>
      </c>
      <c r="N100" s="28">
        <v>41</v>
      </c>
      <c r="O100" s="28" t="s">
        <v>104</v>
      </c>
      <c r="P100" s="28">
        <v>38.700000000000003</v>
      </c>
      <c r="Q100" s="28" t="s">
        <v>104</v>
      </c>
      <c r="R100" s="28" t="s">
        <v>104</v>
      </c>
      <c r="S100" s="28" t="s">
        <v>104</v>
      </c>
      <c r="T100" s="28">
        <v>38.5</v>
      </c>
      <c r="U100" s="28" t="s">
        <v>104</v>
      </c>
      <c r="V100" s="28">
        <v>42.2</v>
      </c>
      <c r="W100" s="28" t="s">
        <v>104</v>
      </c>
      <c r="X100" s="28" t="s">
        <v>104</v>
      </c>
      <c r="Y100" s="28" t="s">
        <v>104</v>
      </c>
      <c r="Z100" s="28">
        <v>38.9</v>
      </c>
      <c r="AA100" s="28">
        <v>39.700000000000003</v>
      </c>
      <c r="AB100" s="28" t="s">
        <v>104</v>
      </c>
      <c r="AC100" s="28" t="s">
        <v>104</v>
      </c>
      <c r="AD100" s="28" t="s">
        <v>104</v>
      </c>
      <c r="AE100" s="28" t="s">
        <v>104</v>
      </c>
    </row>
    <row r="101" spans="1:32" x14ac:dyDescent="0.15">
      <c r="A101" s="29">
        <v>100</v>
      </c>
      <c r="B101" s="34" t="s">
        <v>99</v>
      </c>
      <c r="C101" s="36" t="s">
        <v>100</v>
      </c>
      <c r="D101" s="28" t="s">
        <v>104</v>
      </c>
      <c r="E101" s="28" t="s">
        <v>104</v>
      </c>
      <c r="F101" s="28">
        <v>41</v>
      </c>
      <c r="G101" s="28" t="s">
        <v>104</v>
      </c>
      <c r="H101" s="28" t="s">
        <v>104</v>
      </c>
      <c r="I101" s="28" t="s">
        <v>104</v>
      </c>
      <c r="J101" s="28" t="s">
        <v>104</v>
      </c>
      <c r="K101" s="28" t="s">
        <v>104</v>
      </c>
      <c r="L101" s="28" t="s">
        <v>104</v>
      </c>
      <c r="M101" s="28" t="s">
        <v>104</v>
      </c>
      <c r="N101" s="28" t="s">
        <v>104</v>
      </c>
      <c r="O101" s="28">
        <v>40.9</v>
      </c>
      <c r="P101" s="28" t="s">
        <v>104</v>
      </c>
      <c r="Q101" s="28" t="s">
        <v>104</v>
      </c>
      <c r="R101" s="28" t="s">
        <v>104</v>
      </c>
      <c r="S101" s="28" t="s">
        <v>104</v>
      </c>
      <c r="T101" s="28">
        <v>39</v>
      </c>
      <c r="U101" s="28" t="s">
        <v>104</v>
      </c>
      <c r="V101" s="28" t="s">
        <v>104</v>
      </c>
      <c r="W101" s="28" t="s">
        <v>104</v>
      </c>
      <c r="X101" s="28" t="s">
        <v>104</v>
      </c>
      <c r="Y101" s="28" t="s">
        <v>104</v>
      </c>
      <c r="Z101" s="28">
        <v>39.799999999999997</v>
      </c>
      <c r="AA101" s="28" t="s">
        <v>104</v>
      </c>
      <c r="AB101" s="28" t="s">
        <v>104</v>
      </c>
      <c r="AC101" s="28" t="s">
        <v>104</v>
      </c>
      <c r="AD101" s="28">
        <v>39.6</v>
      </c>
      <c r="AE101" s="28" t="s">
        <v>104</v>
      </c>
    </row>
    <row r="102" spans="1:32" x14ac:dyDescent="0.15">
      <c r="A102" s="29">
        <v>101</v>
      </c>
      <c r="B102" s="40" t="s">
        <v>160</v>
      </c>
      <c r="C102" s="35">
        <v>45686</v>
      </c>
      <c r="D102" s="28">
        <v>37</v>
      </c>
      <c r="E102" s="28">
        <v>39.1</v>
      </c>
      <c r="F102" s="28" t="s">
        <v>104</v>
      </c>
      <c r="G102" s="28" t="s">
        <v>104</v>
      </c>
      <c r="H102" s="28" t="s">
        <v>104</v>
      </c>
      <c r="I102" s="28" t="s">
        <v>104</v>
      </c>
      <c r="J102" s="28" t="s">
        <v>104</v>
      </c>
      <c r="K102" s="28" t="s">
        <v>104</v>
      </c>
      <c r="L102" s="28" t="s">
        <v>104</v>
      </c>
      <c r="M102" s="28" t="s">
        <v>104</v>
      </c>
      <c r="N102" s="28">
        <v>42.5</v>
      </c>
      <c r="O102" s="28">
        <v>39.9</v>
      </c>
      <c r="P102" s="28" t="s">
        <v>104</v>
      </c>
      <c r="Q102" s="28" t="s">
        <v>104</v>
      </c>
      <c r="R102" s="28" t="s">
        <v>104</v>
      </c>
      <c r="S102" s="28" t="s">
        <v>104</v>
      </c>
      <c r="T102" s="28">
        <v>38.799999999999997</v>
      </c>
      <c r="U102" s="28" t="s">
        <v>104</v>
      </c>
      <c r="V102" s="28" t="s">
        <v>104</v>
      </c>
      <c r="W102" s="28" t="s">
        <v>104</v>
      </c>
      <c r="X102" s="28" t="s">
        <v>104</v>
      </c>
      <c r="Y102" s="28" t="s">
        <v>104</v>
      </c>
      <c r="Z102" s="28">
        <v>37.9</v>
      </c>
      <c r="AA102" s="28" t="s">
        <v>104</v>
      </c>
      <c r="AB102" s="28" t="s">
        <v>104</v>
      </c>
      <c r="AC102" s="28" t="s">
        <v>104</v>
      </c>
      <c r="AD102" s="28" t="s">
        <v>104</v>
      </c>
      <c r="AE102" s="28" t="s">
        <v>104</v>
      </c>
    </row>
    <row r="104" spans="1:32" x14ac:dyDescent="0.15">
      <c r="A104" s="32"/>
      <c r="B104" s="30"/>
    </row>
    <row r="105" spans="1:32" x14ac:dyDescent="0.15">
      <c r="A105" s="32"/>
      <c r="B105" s="30"/>
    </row>
  </sheetData>
  <conditionalFormatting sqref="D2:AE102">
    <cfRule type="cellIs" dxfId="3" priority="1" operator="notEqual">
      <formula>"NA"</formula>
    </cfRule>
  </conditionalFormatting>
  <conditionalFormatting sqref="AF57">
    <cfRule type="cellIs" dxfId="2" priority="62" operator="notEqual">
      <formula>"NA"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0"/>
  <sheetViews>
    <sheetView workbookViewId="0">
      <selection activeCell="F1" sqref="F1:F1048576"/>
    </sheetView>
  </sheetViews>
  <sheetFormatPr baseColWidth="10" defaultRowHeight="15" x14ac:dyDescent="0.2"/>
  <cols>
    <col min="1" max="1" width="23.1640625" customWidth="1"/>
    <col min="2" max="2" width="11.33203125" style="1" customWidth="1"/>
    <col min="3" max="3" width="14.83203125" customWidth="1"/>
    <col min="4" max="4" width="15.83203125" customWidth="1"/>
  </cols>
  <sheetData>
    <row r="1" spans="1:5" x14ac:dyDescent="0.2">
      <c r="A1" s="3" t="s">
        <v>103</v>
      </c>
      <c r="B1" s="4" t="s">
        <v>1</v>
      </c>
      <c r="C1" s="3" t="s">
        <v>161</v>
      </c>
      <c r="D1" s="3" t="s">
        <v>162</v>
      </c>
      <c r="E1" s="3" t="s">
        <v>163</v>
      </c>
    </row>
    <row r="2" spans="1:5" x14ac:dyDescent="0.2">
      <c r="A2" s="16" t="s">
        <v>143</v>
      </c>
      <c r="B2" s="7">
        <v>45315</v>
      </c>
      <c r="C2" s="29">
        <v>40.9</v>
      </c>
      <c r="D2" s="29">
        <v>40.4</v>
      </c>
      <c r="E2" s="29">
        <v>0.5</v>
      </c>
    </row>
    <row r="3" spans="1:5" x14ac:dyDescent="0.2">
      <c r="A3" s="16" t="s">
        <v>142</v>
      </c>
      <c r="B3" s="7">
        <v>45319</v>
      </c>
      <c r="C3" s="29">
        <v>37.4</v>
      </c>
      <c r="D3" s="29">
        <v>42</v>
      </c>
      <c r="E3" s="29">
        <v>4.6000000000000014</v>
      </c>
    </row>
    <row r="4" spans="1:5" x14ac:dyDescent="0.2">
      <c r="A4" s="8" t="s">
        <v>141</v>
      </c>
      <c r="B4" s="7">
        <v>45322</v>
      </c>
      <c r="C4" s="29">
        <v>37.799999999999997</v>
      </c>
      <c r="D4" s="29">
        <v>37.4</v>
      </c>
      <c r="E4" s="29">
        <v>0.39999999999999858</v>
      </c>
    </row>
    <row r="5" spans="1:5" x14ac:dyDescent="0.2">
      <c r="A5" s="16" t="s">
        <v>140</v>
      </c>
      <c r="B5" s="7">
        <v>45326</v>
      </c>
      <c r="C5" s="29">
        <v>41.8</v>
      </c>
      <c r="D5" s="29">
        <v>40</v>
      </c>
      <c r="E5" s="29">
        <v>1.7999999999999972</v>
      </c>
    </row>
    <row r="6" spans="1:5" x14ac:dyDescent="0.2">
      <c r="A6" s="16" t="s">
        <v>137</v>
      </c>
      <c r="B6" s="7">
        <v>45340</v>
      </c>
      <c r="C6" s="29">
        <v>38.299999999999997</v>
      </c>
      <c r="D6" s="29">
        <v>37.299999999999997</v>
      </c>
      <c r="E6" s="29">
        <v>1</v>
      </c>
    </row>
    <row r="7" spans="1:5" x14ac:dyDescent="0.2">
      <c r="A7" s="16" t="s">
        <v>135</v>
      </c>
      <c r="B7" s="7">
        <v>45347</v>
      </c>
      <c r="C7" s="29">
        <v>39.5</v>
      </c>
      <c r="D7" s="29">
        <v>38.5</v>
      </c>
      <c r="E7" s="29">
        <v>1</v>
      </c>
    </row>
    <row r="8" spans="1:5" x14ac:dyDescent="0.2">
      <c r="A8" s="8" t="s">
        <v>134</v>
      </c>
      <c r="B8" s="7">
        <v>45350</v>
      </c>
      <c r="C8" s="29">
        <v>38.299999999999997</v>
      </c>
      <c r="D8" s="29">
        <v>38.1</v>
      </c>
      <c r="E8" s="29">
        <v>0.19999999999999574</v>
      </c>
    </row>
    <row r="9" spans="1:5" x14ac:dyDescent="0.2">
      <c r="A9" s="16" t="s">
        <v>6</v>
      </c>
      <c r="B9" s="7">
        <v>45357</v>
      </c>
      <c r="C9" s="29">
        <v>39.299999999999997</v>
      </c>
      <c r="D9" s="29">
        <v>39.200000000000003</v>
      </c>
      <c r="E9" s="29">
        <v>9.9999999999994316E-2</v>
      </c>
    </row>
    <row r="10" spans="1:5" x14ac:dyDescent="0.2">
      <c r="A10" s="16" t="s">
        <v>7</v>
      </c>
      <c r="B10" s="7">
        <v>45361</v>
      </c>
      <c r="C10" s="29">
        <v>39.799999999999997</v>
      </c>
      <c r="D10" s="29">
        <v>41.4</v>
      </c>
      <c r="E10" s="29">
        <v>1.6000000000000014</v>
      </c>
    </row>
    <row r="11" spans="1:5" x14ac:dyDescent="0.2">
      <c r="A11" s="16" t="s">
        <v>8</v>
      </c>
      <c r="B11" s="7">
        <v>45368</v>
      </c>
      <c r="C11" s="29">
        <v>39.1</v>
      </c>
      <c r="D11" s="29">
        <v>38.299999999999997</v>
      </c>
      <c r="E11" s="29">
        <v>0.80000000000000426</v>
      </c>
    </row>
    <row r="12" spans="1:5" x14ac:dyDescent="0.2">
      <c r="A12" s="8" t="s">
        <v>133</v>
      </c>
      <c r="B12" s="7">
        <v>45371</v>
      </c>
      <c r="C12" s="29">
        <v>37.9</v>
      </c>
      <c r="D12" s="29">
        <v>38.700000000000003</v>
      </c>
      <c r="E12" s="29">
        <v>0.80000000000000426</v>
      </c>
    </row>
    <row r="13" spans="1:5" x14ac:dyDescent="0.2">
      <c r="A13" s="16" t="s">
        <v>9</v>
      </c>
      <c r="B13" s="7">
        <v>45375</v>
      </c>
      <c r="C13" s="29">
        <v>39.6</v>
      </c>
      <c r="D13" s="29">
        <v>39.299999999999997</v>
      </c>
      <c r="E13" s="29">
        <v>0.30000000000000426</v>
      </c>
    </row>
    <row r="14" spans="1:5" x14ac:dyDescent="0.2">
      <c r="A14" s="16" t="s">
        <v>10</v>
      </c>
      <c r="B14" s="7">
        <v>45378</v>
      </c>
      <c r="C14" s="29">
        <v>43</v>
      </c>
      <c r="D14" s="29">
        <v>40.5</v>
      </c>
      <c r="E14" s="29">
        <v>2.5</v>
      </c>
    </row>
    <row r="15" spans="1:5" x14ac:dyDescent="0.2">
      <c r="A15" s="16" t="s">
        <v>12</v>
      </c>
      <c r="B15" s="7">
        <v>45385</v>
      </c>
      <c r="C15" s="29">
        <v>38.5</v>
      </c>
      <c r="D15" s="29">
        <v>38</v>
      </c>
      <c r="E15" s="29">
        <v>0.5</v>
      </c>
    </row>
    <row r="16" spans="1:5" x14ac:dyDescent="0.2">
      <c r="A16" s="16" t="s">
        <v>13</v>
      </c>
      <c r="B16" s="7">
        <v>45389</v>
      </c>
      <c r="C16" s="29">
        <v>40.9</v>
      </c>
      <c r="D16" s="29">
        <v>37.9</v>
      </c>
      <c r="E16" s="29">
        <v>3</v>
      </c>
    </row>
    <row r="17" spans="1:5" x14ac:dyDescent="0.2">
      <c r="A17" s="16" t="s">
        <v>15</v>
      </c>
      <c r="B17" s="7">
        <v>45396</v>
      </c>
      <c r="C17" s="29">
        <v>38.6</v>
      </c>
      <c r="D17" s="29">
        <v>37.1</v>
      </c>
      <c r="E17" s="29">
        <v>1.5</v>
      </c>
    </row>
    <row r="18" spans="1:5" x14ac:dyDescent="0.2">
      <c r="A18" s="16" t="s">
        <v>16</v>
      </c>
      <c r="B18" s="7">
        <v>45399</v>
      </c>
      <c r="C18" s="29">
        <v>39.1</v>
      </c>
      <c r="D18" s="29">
        <v>38.799999999999997</v>
      </c>
      <c r="E18" s="29">
        <v>0.30000000000000426</v>
      </c>
    </row>
    <row r="19" spans="1:5" x14ac:dyDescent="0.2">
      <c r="A19" s="16" t="s">
        <v>17</v>
      </c>
      <c r="B19" s="7">
        <v>45403</v>
      </c>
      <c r="C19" s="29">
        <v>39.6</v>
      </c>
      <c r="D19" s="29">
        <v>39.5</v>
      </c>
      <c r="E19" s="29">
        <v>0.10000000000000142</v>
      </c>
    </row>
    <row r="20" spans="1:5" x14ac:dyDescent="0.2">
      <c r="A20" s="8" t="s">
        <v>144</v>
      </c>
      <c r="B20" s="7">
        <v>45406</v>
      </c>
      <c r="C20" s="29">
        <v>39.6</v>
      </c>
      <c r="D20" s="29">
        <v>40.299999999999997</v>
      </c>
      <c r="E20" s="29">
        <v>0.69999999999999574</v>
      </c>
    </row>
    <row r="21" spans="1:5" x14ac:dyDescent="0.2">
      <c r="A21" s="16" t="s">
        <v>18</v>
      </c>
      <c r="B21" s="7">
        <v>45410</v>
      </c>
      <c r="C21" s="29">
        <v>37.4</v>
      </c>
      <c r="D21" s="29">
        <v>38.299999999999997</v>
      </c>
      <c r="E21" s="29">
        <v>0.89999999999999858</v>
      </c>
    </row>
    <row r="22" spans="1:5" x14ac:dyDescent="0.2">
      <c r="A22" s="16" t="s">
        <v>19</v>
      </c>
      <c r="B22" s="7">
        <v>45413</v>
      </c>
      <c r="C22" s="29">
        <v>41.4</v>
      </c>
      <c r="D22" s="29">
        <v>42.4</v>
      </c>
      <c r="E22" s="29">
        <v>1</v>
      </c>
    </row>
    <row r="23" spans="1:5" x14ac:dyDescent="0.2">
      <c r="A23" s="16" t="s">
        <v>20</v>
      </c>
      <c r="B23" s="7">
        <v>45417</v>
      </c>
      <c r="C23" s="29">
        <v>39.6</v>
      </c>
      <c r="D23" s="29">
        <v>40.5</v>
      </c>
      <c r="E23" s="29">
        <v>0.89999999999999858</v>
      </c>
    </row>
    <row r="24" spans="1:5" x14ac:dyDescent="0.2">
      <c r="A24" s="8" t="s">
        <v>149</v>
      </c>
      <c r="B24" s="7">
        <v>45441</v>
      </c>
      <c r="C24" s="29">
        <v>38.9</v>
      </c>
      <c r="D24" s="29">
        <v>38.6</v>
      </c>
      <c r="E24" s="29">
        <v>0.29999999999999716</v>
      </c>
    </row>
    <row r="25" spans="1:5" x14ac:dyDescent="0.2">
      <c r="A25" s="16" t="s">
        <v>21</v>
      </c>
      <c r="B25" s="7">
        <v>45462</v>
      </c>
      <c r="C25" s="29">
        <v>37.9</v>
      </c>
      <c r="D25" s="29">
        <v>37.4</v>
      </c>
      <c r="E25" s="29">
        <v>0.5</v>
      </c>
    </row>
    <row r="26" spans="1:5" x14ac:dyDescent="0.2">
      <c r="A26" s="16" t="s">
        <v>22</v>
      </c>
      <c r="B26" s="7">
        <v>45466</v>
      </c>
      <c r="C26" s="29">
        <v>37.700000000000003</v>
      </c>
      <c r="D26" s="29">
        <v>38.6</v>
      </c>
      <c r="E26" s="29">
        <v>0.89999999999999858</v>
      </c>
    </row>
    <row r="27" spans="1:5" x14ac:dyDescent="0.2">
      <c r="A27" s="8" t="s">
        <v>154</v>
      </c>
      <c r="B27" s="7">
        <v>45469</v>
      </c>
      <c r="C27" s="29">
        <v>36.299999999999997</v>
      </c>
      <c r="D27" s="29">
        <v>36.200000000000003</v>
      </c>
      <c r="E27" s="29">
        <v>9.9999999999994316E-2</v>
      </c>
    </row>
    <row r="28" spans="1:5" x14ac:dyDescent="0.2">
      <c r="A28" s="16" t="s">
        <v>23</v>
      </c>
      <c r="B28" s="7">
        <v>45473</v>
      </c>
      <c r="C28" s="29">
        <v>42.3</v>
      </c>
      <c r="D28" s="29">
        <v>40.5</v>
      </c>
      <c r="E28" s="29">
        <v>1.7999999999999972</v>
      </c>
    </row>
    <row r="29" spans="1:5" x14ac:dyDescent="0.2">
      <c r="A29" s="16" t="s">
        <v>24</v>
      </c>
      <c r="B29" s="20" t="s">
        <v>25</v>
      </c>
      <c r="C29" s="29">
        <v>39.5</v>
      </c>
      <c r="D29" s="29">
        <v>37.9</v>
      </c>
      <c r="E29" s="29">
        <v>1.6000000000000014</v>
      </c>
    </row>
    <row r="30" spans="1:5" x14ac:dyDescent="0.2">
      <c r="A30" s="16" t="s">
        <v>26</v>
      </c>
      <c r="B30" s="21">
        <v>45480</v>
      </c>
      <c r="C30" s="29">
        <v>40.799999999999997</v>
      </c>
      <c r="D30" s="29">
        <v>38.200000000000003</v>
      </c>
      <c r="E30" s="29">
        <v>2.5999999999999943</v>
      </c>
    </row>
    <row r="31" spans="1:5" x14ac:dyDescent="0.2">
      <c r="A31" s="16" t="s">
        <v>27</v>
      </c>
      <c r="B31" s="21">
        <v>45483</v>
      </c>
      <c r="C31" s="29">
        <v>39.299999999999997</v>
      </c>
      <c r="D31" s="29">
        <v>39.700000000000003</v>
      </c>
      <c r="E31" s="29">
        <v>0.40000000000000568</v>
      </c>
    </row>
    <row r="32" spans="1:5" x14ac:dyDescent="0.2">
      <c r="A32" s="16" t="s">
        <v>29</v>
      </c>
      <c r="B32" s="21">
        <v>45490</v>
      </c>
      <c r="C32" s="29">
        <v>40.1</v>
      </c>
      <c r="D32" s="29">
        <v>39.799999999999997</v>
      </c>
      <c r="E32" s="29">
        <v>0.30000000000000426</v>
      </c>
    </row>
    <row r="33" spans="1:5" x14ac:dyDescent="0.2">
      <c r="A33" s="16" t="s">
        <v>30</v>
      </c>
      <c r="B33" s="21">
        <v>45494</v>
      </c>
      <c r="C33" s="29">
        <v>41</v>
      </c>
      <c r="D33" s="29">
        <v>38.700000000000003</v>
      </c>
      <c r="E33" s="29">
        <v>2.2999999999999972</v>
      </c>
    </row>
    <row r="34" spans="1:5" x14ac:dyDescent="0.2">
      <c r="A34" s="16" t="s">
        <v>31</v>
      </c>
      <c r="B34" s="21">
        <v>45501</v>
      </c>
      <c r="C34" s="29">
        <v>30.6</v>
      </c>
      <c r="D34" s="29">
        <v>31.1</v>
      </c>
      <c r="E34" s="29">
        <v>0.5</v>
      </c>
    </row>
    <row r="35" spans="1:5" x14ac:dyDescent="0.2">
      <c r="A35" s="16" t="s">
        <v>32</v>
      </c>
      <c r="B35" s="21">
        <v>45508</v>
      </c>
      <c r="C35" s="29">
        <v>40.9</v>
      </c>
      <c r="D35" s="29">
        <v>41.7</v>
      </c>
      <c r="E35" s="29">
        <v>0.80000000000000426</v>
      </c>
    </row>
    <row r="36" spans="1:5" x14ac:dyDescent="0.2">
      <c r="A36" s="16" t="s">
        <v>33</v>
      </c>
      <c r="B36" s="21">
        <v>45511</v>
      </c>
      <c r="C36" s="29">
        <v>37.799999999999997</v>
      </c>
      <c r="D36" s="29">
        <v>37.5</v>
      </c>
      <c r="E36" s="29">
        <v>0.29999999999999716</v>
      </c>
    </row>
    <row r="37" spans="1:5" x14ac:dyDescent="0.2">
      <c r="A37" s="16" t="s">
        <v>34</v>
      </c>
      <c r="B37" s="20" t="s">
        <v>35</v>
      </c>
      <c r="C37" s="29">
        <v>39.299999999999997</v>
      </c>
      <c r="D37" s="29">
        <v>42.6</v>
      </c>
      <c r="E37" s="29">
        <v>3.3000000000000043</v>
      </c>
    </row>
    <row r="38" spans="1:5" x14ac:dyDescent="0.2">
      <c r="A38" s="16" t="s">
        <v>36</v>
      </c>
      <c r="B38" s="21">
        <v>45515</v>
      </c>
      <c r="C38" s="29">
        <v>39.6</v>
      </c>
      <c r="D38" s="29">
        <v>39.200000000000003</v>
      </c>
      <c r="E38" s="29">
        <v>0.39999999999999858</v>
      </c>
    </row>
    <row r="39" spans="1:5" x14ac:dyDescent="0.2">
      <c r="A39" s="8" t="s">
        <v>39</v>
      </c>
      <c r="B39" s="7">
        <v>45525</v>
      </c>
      <c r="C39" s="29">
        <v>38.1</v>
      </c>
      <c r="D39" s="29">
        <v>39.299999999999997</v>
      </c>
      <c r="E39" s="29">
        <v>1.1999999999999957</v>
      </c>
    </row>
    <row r="40" spans="1:5" x14ac:dyDescent="0.2">
      <c r="A40" s="16" t="s">
        <v>40</v>
      </c>
      <c r="B40" s="20" t="s">
        <v>41</v>
      </c>
      <c r="C40" s="29">
        <v>38</v>
      </c>
      <c r="D40" s="29">
        <v>40.200000000000003</v>
      </c>
      <c r="E40" s="29">
        <v>2.2000000000000028</v>
      </c>
    </row>
    <row r="41" spans="1:5" x14ac:dyDescent="0.2">
      <c r="A41" s="16" t="s">
        <v>42</v>
      </c>
      <c r="B41" s="20" t="s">
        <v>43</v>
      </c>
      <c r="C41" s="29">
        <v>38</v>
      </c>
      <c r="D41" s="29">
        <v>39.200000000000003</v>
      </c>
      <c r="E41" s="29">
        <v>1.2000000000000028</v>
      </c>
    </row>
    <row r="42" spans="1:5" x14ac:dyDescent="0.2">
      <c r="A42" s="16" t="s">
        <v>44</v>
      </c>
      <c r="B42" s="20" t="s">
        <v>45</v>
      </c>
      <c r="C42" s="29">
        <v>39.5</v>
      </c>
      <c r="D42" s="29">
        <v>38.299999999999997</v>
      </c>
      <c r="E42" s="29">
        <v>1.2000000000000028</v>
      </c>
    </row>
    <row r="43" spans="1:5" x14ac:dyDescent="0.2">
      <c r="A43" s="16" t="s">
        <v>46</v>
      </c>
      <c r="B43" s="21">
        <v>45543</v>
      </c>
      <c r="C43" s="29">
        <v>38.799999999999997</v>
      </c>
      <c r="D43" s="29">
        <v>39.4</v>
      </c>
      <c r="E43" s="29">
        <v>0.60000000000000142</v>
      </c>
    </row>
    <row r="44" spans="1:5" x14ac:dyDescent="0.2">
      <c r="A44" s="16" t="s">
        <v>47</v>
      </c>
      <c r="B44" s="21">
        <v>45546</v>
      </c>
      <c r="C44" s="29">
        <v>39.700000000000003</v>
      </c>
      <c r="D44" s="29">
        <v>39.200000000000003</v>
      </c>
      <c r="E44" s="29">
        <v>0.5</v>
      </c>
    </row>
    <row r="45" spans="1:5" x14ac:dyDescent="0.2">
      <c r="A45" s="16" t="s">
        <v>48</v>
      </c>
      <c r="B45" s="21">
        <v>45550</v>
      </c>
      <c r="C45" s="29">
        <v>39.4</v>
      </c>
      <c r="D45" s="29">
        <v>39.9</v>
      </c>
      <c r="E45" s="29">
        <v>0.5</v>
      </c>
    </row>
    <row r="46" spans="1:5" x14ac:dyDescent="0.2">
      <c r="A46" s="16" t="s">
        <v>49</v>
      </c>
      <c r="B46" s="20" t="s">
        <v>50</v>
      </c>
      <c r="C46" s="29">
        <v>37.799999999999997</v>
      </c>
      <c r="D46" s="29">
        <v>38.200000000000003</v>
      </c>
      <c r="E46" s="29">
        <v>0.40000000000000568</v>
      </c>
    </row>
    <row r="47" spans="1:5" x14ac:dyDescent="0.2">
      <c r="A47" s="8" t="s">
        <v>156</v>
      </c>
      <c r="B47" s="7">
        <v>45560</v>
      </c>
      <c r="C47" s="29">
        <v>39.799999999999997</v>
      </c>
      <c r="D47" s="29">
        <v>39.799999999999997</v>
      </c>
      <c r="E47" s="29">
        <v>0</v>
      </c>
    </row>
    <row r="48" spans="1:5" x14ac:dyDescent="0.2">
      <c r="A48" s="16" t="s">
        <v>52</v>
      </c>
      <c r="B48" s="21">
        <v>45564</v>
      </c>
      <c r="C48" s="29">
        <v>37.6</v>
      </c>
      <c r="D48" s="29">
        <v>37.299999999999997</v>
      </c>
      <c r="E48" s="29">
        <v>0.30000000000000426</v>
      </c>
    </row>
    <row r="49" spans="1:5" x14ac:dyDescent="0.2">
      <c r="A49" s="16" t="s">
        <v>53</v>
      </c>
      <c r="B49" s="21">
        <v>45567</v>
      </c>
      <c r="C49" s="29">
        <v>38.4</v>
      </c>
      <c r="D49" s="29">
        <v>37</v>
      </c>
      <c r="E49" s="29">
        <v>1.3999999999999986</v>
      </c>
    </row>
    <row r="50" spans="1:5" x14ac:dyDescent="0.2">
      <c r="A50" s="16" t="s">
        <v>54</v>
      </c>
      <c r="B50" s="21">
        <v>45571</v>
      </c>
      <c r="C50" s="29">
        <v>40.9</v>
      </c>
      <c r="D50" s="29">
        <v>43</v>
      </c>
      <c r="E50" s="29">
        <v>2.1000000000000014</v>
      </c>
    </row>
    <row r="51" spans="1:5" x14ac:dyDescent="0.2">
      <c r="A51" s="16" t="s">
        <v>56</v>
      </c>
      <c r="B51" s="21">
        <v>45578</v>
      </c>
      <c r="C51" s="29">
        <v>38.700000000000003</v>
      </c>
      <c r="D51" s="29">
        <v>40.700000000000003</v>
      </c>
      <c r="E51" s="29">
        <v>2</v>
      </c>
    </row>
    <row r="52" spans="1:5" x14ac:dyDescent="0.2">
      <c r="A52" s="16" t="s">
        <v>57</v>
      </c>
      <c r="B52" s="20" t="s">
        <v>58</v>
      </c>
      <c r="C52" s="29">
        <v>37.700000000000003</v>
      </c>
      <c r="D52" s="29">
        <v>38.200000000000003</v>
      </c>
      <c r="E52" s="29">
        <v>0.5</v>
      </c>
    </row>
    <row r="53" spans="1:5" x14ac:dyDescent="0.2">
      <c r="A53" s="16" t="s">
        <v>59</v>
      </c>
      <c r="B53" s="21">
        <v>45585</v>
      </c>
      <c r="C53" s="29">
        <v>38.5</v>
      </c>
      <c r="D53" s="29">
        <v>39.299999999999997</v>
      </c>
      <c r="E53" s="29">
        <v>0.79999999999999716</v>
      </c>
    </row>
    <row r="54" spans="1:5" x14ac:dyDescent="0.2">
      <c r="A54" s="16" t="s">
        <v>60</v>
      </c>
      <c r="B54" s="21">
        <v>45588</v>
      </c>
      <c r="C54" s="29">
        <v>42.3</v>
      </c>
      <c r="D54" s="29">
        <v>40.5</v>
      </c>
      <c r="E54" s="29">
        <v>1.7999999999999972</v>
      </c>
    </row>
    <row r="55" spans="1:5" x14ac:dyDescent="0.2">
      <c r="A55" s="16" t="s">
        <v>61</v>
      </c>
      <c r="B55" s="21">
        <v>45592</v>
      </c>
      <c r="C55" s="29">
        <v>37.6</v>
      </c>
      <c r="D55" s="29">
        <v>38.700000000000003</v>
      </c>
      <c r="E55" s="29">
        <v>1.1000000000000014</v>
      </c>
    </row>
    <row r="56" spans="1:5" x14ac:dyDescent="0.2">
      <c r="A56" s="8" t="s">
        <v>157</v>
      </c>
      <c r="B56" s="7">
        <v>45595</v>
      </c>
      <c r="C56" s="29">
        <v>38.200000000000003</v>
      </c>
      <c r="D56" s="29">
        <v>38.200000000000003</v>
      </c>
      <c r="E56" s="29">
        <v>0</v>
      </c>
    </row>
    <row r="57" spans="1:5" x14ac:dyDescent="0.2">
      <c r="A57" s="16" t="s">
        <v>62</v>
      </c>
      <c r="B57" s="20" t="s">
        <v>63</v>
      </c>
      <c r="C57" s="29">
        <v>37.799999999999997</v>
      </c>
      <c r="D57" s="29">
        <v>39.5</v>
      </c>
      <c r="E57" s="29">
        <v>1.7000000000000028</v>
      </c>
    </row>
    <row r="58" spans="1:5" x14ac:dyDescent="0.2">
      <c r="A58" s="16" t="s">
        <v>64</v>
      </c>
      <c r="B58" s="20" t="s">
        <v>65</v>
      </c>
      <c r="C58" s="29">
        <v>37</v>
      </c>
      <c r="D58" s="29">
        <v>38.4</v>
      </c>
      <c r="E58" s="29">
        <v>1.3999999999999986</v>
      </c>
    </row>
    <row r="59" spans="1:5" x14ac:dyDescent="0.2">
      <c r="A59" s="16" t="s">
        <v>66</v>
      </c>
      <c r="B59" s="20" t="s">
        <v>67</v>
      </c>
      <c r="C59" s="29">
        <v>36.5</v>
      </c>
      <c r="D59" s="29">
        <v>37.4</v>
      </c>
      <c r="E59" s="29">
        <v>0.89999999999999858</v>
      </c>
    </row>
    <row r="60" spans="1:5" x14ac:dyDescent="0.2">
      <c r="A60" s="16" t="s">
        <v>68</v>
      </c>
      <c r="B60" s="21">
        <v>45609</v>
      </c>
      <c r="C60" s="29">
        <v>36.799999999999997</v>
      </c>
      <c r="D60" s="29">
        <v>37.6</v>
      </c>
      <c r="E60" s="29">
        <v>0.80000000000000426</v>
      </c>
    </row>
    <row r="61" spans="1:5" x14ac:dyDescent="0.2">
      <c r="A61" s="16" t="s">
        <v>69</v>
      </c>
      <c r="B61" s="21">
        <v>45613</v>
      </c>
      <c r="C61" s="29">
        <v>38.200000000000003</v>
      </c>
      <c r="D61" s="29">
        <v>40</v>
      </c>
      <c r="E61" s="29">
        <v>1.7999999999999972</v>
      </c>
    </row>
    <row r="62" spans="1:5" x14ac:dyDescent="0.2">
      <c r="A62" s="16" t="s">
        <v>70</v>
      </c>
      <c r="B62" s="20" t="s">
        <v>71</v>
      </c>
      <c r="C62" s="29">
        <v>38.6</v>
      </c>
      <c r="D62" s="29">
        <v>37.9</v>
      </c>
      <c r="E62" s="29">
        <v>0.70000000000000284</v>
      </c>
    </row>
    <row r="63" spans="1:5" x14ac:dyDescent="0.2">
      <c r="A63" s="16" t="s">
        <v>72</v>
      </c>
      <c r="B63" s="20" t="s">
        <v>73</v>
      </c>
      <c r="C63" s="29">
        <v>38.700000000000003</v>
      </c>
      <c r="D63" s="29">
        <v>38.799999999999997</v>
      </c>
      <c r="E63" s="29">
        <v>9.9999999999994316E-2</v>
      </c>
    </row>
    <row r="64" spans="1:5" x14ac:dyDescent="0.2">
      <c r="A64" s="8" t="s">
        <v>158</v>
      </c>
      <c r="B64" s="7">
        <v>45623</v>
      </c>
      <c r="C64" s="29">
        <v>38.1</v>
      </c>
      <c r="D64" s="29">
        <v>40.200000000000003</v>
      </c>
      <c r="E64" s="29">
        <v>2.1000000000000014</v>
      </c>
    </row>
    <row r="65" spans="1:5" x14ac:dyDescent="0.2">
      <c r="A65" s="16" t="s">
        <v>74</v>
      </c>
      <c r="B65" s="20" t="s">
        <v>75</v>
      </c>
      <c r="C65" s="29">
        <v>39.1</v>
      </c>
      <c r="D65" s="29">
        <v>40.4</v>
      </c>
      <c r="E65" s="29">
        <v>1.2999999999999972</v>
      </c>
    </row>
    <row r="66" spans="1:5" x14ac:dyDescent="0.2">
      <c r="A66" s="16" t="s">
        <v>76</v>
      </c>
      <c r="B66" s="20" t="s">
        <v>77</v>
      </c>
      <c r="C66" s="29">
        <v>37</v>
      </c>
      <c r="D66" s="29">
        <v>38.200000000000003</v>
      </c>
      <c r="E66" s="29">
        <v>1.2000000000000028</v>
      </c>
    </row>
    <row r="67" spans="1:5" x14ac:dyDescent="0.2">
      <c r="A67" s="16" t="s">
        <v>78</v>
      </c>
      <c r="B67" s="20" t="s">
        <v>79</v>
      </c>
      <c r="C67" s="29">
        <v>39.4</v>
      </c>
      <c r="D67" s="29">
        <v>38.5</v>
      </c>
      <c r="E67" s="29">
        <v>0.89999999999999858</v>
      </c>
    </row>
    <row r="68" spans="1:5" x14ac:dyDescent="0.2">
      <c r="A68" s="16" t="s">
        <v>80</v>
      </c>
      <c r="B68" s="21">
        <v>45637</v>
      </c>
      <c r="C68" s="29">
        <v>38.6</v>
      </c>
      <c r="D68" s="29">
        <v>38.1</v>
      </c>
      <c r="E68" s="29">
        <v>0.5</v>
      </c>
    </row>
    <row r="69" spans="1:5" x14ac:dyDescent="0.2">
      <c r="A69" s="16" t="s">
        <v>81</v>
      </c>
      <c r="B69" s="20" t="s">
        <v>82</v>
      </c>
      <c r="C69" s="29">
        <v>39.6</v>
      </c>
      <c r="D69" s="29">
        <v>39.200000000000003</v>
      </c>
      <c r="E69" s="29">
        <v>0.39999999999999858</v>
      </c>
    </row>
    <row r="70" spans="1:5" x14ac:dyDescent="0.2">
      <c r="A70" s="16" t="s">
        <v>83</v>
      </c>
      <c r="B70" s="20" t="s">
        <v>84</v>
      </c>
      <c r="C70" s="29">
        <v>39.200000000000003</v>
      </c>
      <c r="D70" s="29">
        <v>37.9</v>
      </c>
      <c r="E70" s="29">
        <v>1.3000000000000043</v>
      </c>
    </row>
    <row r="71" spans="1:5" x14ac:dyDescent="0.2">
      <c r="A71" s="16" t="s">
        <v>85</v>
      </c>
      <c r="B71" s="20" t="s">
        <v>86</v>
      </c>
      <c r="C71" s="29">
        <v>38.9</v>
      </c>
      <c r="D71" s="29">
        <v>39.5</v>
      </c>
      <c r="E71" s="29">
        <v>0.60000000000000142</v>
      </c>
    </row>
    <row r="72" spans="1:5" x14ac:dyDescent="0.2">
      <c r="A72" s="8" t="s">
        <v>159</v>
      </c>
      <c r="B72" s="7">
        <v>45651</v>
      </c>
      <c r="C72" s="29">
        <v>38.1</v>
      </c>
      <c r="D72" s="29">
        <v>39.5</v>
      </c>
      <c r="E72" s="29">
        <v>1.3999999999999986</v>
      </c>
    </row>
    <row r="73" spans="1:5" x14ac:dyDescent="0.2">
      <c r="A73" s="16" t="s">
        <v>87</v>
      </c>
      <c r="B73" s="20" t="s">
        <v>88</v>
      </c>
      <c r="C73" s="29">
        <v>39</v>
      </c>
      <c r="D73" s="29">
        <v>37.9</v>
      </c>
      <c r="E73" s="29">
        <v>1.1000000000000014</v>
      </c>
    </row>
    <row r="74" spans="1:5" x14ac:dyDescent="0.2">
      <c r="A74" s="16" t="s">
        <v>93</v>
      </c>
      <c r="B74" s="21">
        <v>45665</v>
      </c>
      <c r="C74" s="29">
        <v>37.700000000000003</v>
      </c>
      <c r="D74" s="29">
        <v>37.6</v>
      </c>
      <c r="E74" s="29">
        <v>0.10000000000000142</v>
      </c>
    </row>
    <row r="75" spans="1:5" x14ac:dyDescent="0.2">
      <c r="A75" s="16" t="s">
        <v>94</v>
      </c>
      <c r="B75" s="21">
        <v>45669</v>
      </c>
      <c r="C75" s="29">
        <v>40</v>
      </c>
      <c r="D75" s="29">
        <v>40.799999999999997</v>
      </c>
      <c r="E75" s="29">
        <v>0.79999999999999716</v>
      </c>
    </row>
    <row r="76" spans="1:5" x14ac:dyDescent="0.2">
      <c r="A76" s="16" t="s">
        <v>95</v>
      </c>
      <c r="B76" s="20" t="s">
        <v>96</v>
      </c>
      <c r="C76" s="29">
        <v>40.4</v>
      </c>
      <c r="D76" s="29">
        <v>42.8</v>
      </c>
      <c r="E76" s="29">
        <v>2.3999999999999986</v>
      </c>
    </row>
    <row r="77" spans="1:5" x14ac:dyDescent="0.2">
      <c r="A77" s="16" t="s">
        <v>97</v>
      </c>
      <c r="B77" s="21">
        <v>45676</v>
      </c>
      <c r="C77" s="29">
        <v>37</v>
      </c>
      <c r="D77" s="29">
        <v>37.299999999999997</v>
      </c>
      <c r="E77" s="29">
        <v>0.29999999999999716</v>
      </c>
    </row>
    <row r="78" spans="1:5" x14ac:dyDescent="0.2">
      <c r="A78" s="16" t="s">
        <v>98</v>
      </c>
      <c r="B78" s="21">
        <v>45679</v>
      </c>
      <c r="C78" s="29">
        <v>38.9</v>
      </c>
      <c r="D78" s="29">
        <v>37.9</v>
      </c>
      <c r="E78" s="29">
        <v>1</v>
      </c>
    </row>
    <row r="79" spans="1:5" x14ac:dyDescent="0.2">
      <c r="A79" s="16" t="s">
        <v>99</v>
      </c>
      <c r="B79" s="20" t="s">
        <v>100</v>
      </c>
      <c r="C79" s="29">
        <v>39.5</v>
      </c>
      <c r="D79" s="29">
        <v>38.9</v>
      </c>
      <c r="E79" s="29">
        <v>0.60000000000000142</v>
      </c>
    </row>
    <row r="80" spans="1:5" x14ac:dyDescent="0.2">
      <c r="A80" s="23" t="s">
        <v>160</v>
      </c>
      <c r="B80" s="7">
        <v>45686</v>
      </c>
      <c r="C80" s="29">
        <v>38.6</v>
      </c>
      <c r="D80" s="29">
        <v>39.799999999999997</v>
      </c>
      <c r="E80" s="29">
        <v>1.1999999999999957</v>
      </c>
    </row>
  </sheetData>
  <conditionalFormatting sqref="E2:E62">
    <cfRule type="cellIs" dxfId="1" priority="1" operator="greaterThan">
      <formula>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9"/>
  <sheetViews>
    <sheetView workbookViewId="0">
      <selection activeCell="G17" sqref="G17"/>
    </sheetView>
  </sheetViews>
  <sheetFormatPr baseColWidth="10" defaultRowHeight="15" x14ac:dyDescent="0.2"/>
  <cols>
    <col min="1" max="1" width="20.6640625" customWidth="1"/>
    <col min="2" max="2" width="11.33203125" style="1" customWidth="1"/>
    <col min="3" max="5" width="10.83203125" style="2"/>
  </cols>
  <sheetData>
    <row r="1" spans="1:5" x14ac:dyDescent="0.2">
      <c r="A1" s="3" t="s">
        <v>103</v>
      </c>
      <c r="B1" s="4" t="s">
        <v>1</v>
      </c>
      <c r="C1" s="3" t="s">
        <v>166</v>
      </c>
      <c r="D1" s="3" t="s">
        <v>167</v>
      </c>
      <c r="E1" s="3" t="s">
        <v>163</v>
      </c>
    </row>
    <row r="2" spans="1:5" x14ac:dyDescent="0.2">
      <c r="A2" s="16" t="s">
        <v>143</v>
      </c>
      <c r="B2" s="7">
        <v>45315</v>
      </c>
      <c r="C2" s="29">
        <v>40</v>
      </c>
      <c r="D2" s="29">
        <v>38.6</v>
      </c>
      <c r="E2" s="29">
        <v>1.3999999999999986</v>
      </c>
    </row>
    <row r="3" spans="1:5" x14ac:dyDescent="0.2">
      <c r="A3" s="16" t="s">
        <v>142</v>
      </c>
      <c r="B3" s="7">
        <v>45319</v>
      </c>
      <c r="C3" s="29">
        <v>40.299999999999997</v>
      </c>
      <c r="D3" s="29">
        <v>39.200000000000003</v>
      </c>
      <c r="E3" s="29">
        <v>1.0999999999999943</v>
      </c>
    </row>
    <row r="4" spans="1:5" x14ac:dyDescent="0.2">
      <c r="A4" s="8" t="s">
        <v>141</v>
      </c>
      <c r="B4" s="7">
        <v>45322</v>
      </c>
      <c r="C4" s="29">
        <v>38.200000000000003</v>
      </c>
      <c r="D4" s="29">
        <v>37</v>
      </c>
      <c r="E4" s="29">
        <v>1.2000000000000028</v>
      </c>
    </row>
    <row r="5" spans="1:5" x14ac:dyDescent="0.2">
      <c r="A5" s="16" t="s">
        <v>140</v>
      </c>
      <c r="B5" s="7">
        <v>45326</v>
      </c>
      <c r="C5" s="29">
        <v>39.6</v>
      </c>
      <c r="D5" s="29">
        <v>41.3</v>
      </c>
      <c r="E5" s="29">
        <v>1.6999999999999957</v>
      </c>
    </row>
    <row r="6" spans="1:5" x14ac:dyDescent="0.2">
      <c r="A6" s="16" t="s">
        <v>139</v>
      </c>
      <c r="B6" s="7">
        <v>45329</v>
      </c>
      <c r="C6" s="29">
        <v>40.6</v>
      </c>
      <c r="D6" s="29">
        <v>41.5</v>
      </c>
      <c r="E6" s="29">
        <v>0.89999999999999858</v>
      </c>
    </row>
    <row r="7" spans="1:5" x14ac:dyDescent="0.2">
      <c r="A7" s="16" t="s">
        <v>138</v>
      </c>
      <c r="B7" s="7">
        <v>45333</v>
      </c>
      <c r="C7" s="29">
        <v>39.200000000000003</v>
      </c>
      <c r="D7" s="29">
        <v>39.4</v>
      </c>
      <c r="E7" s="29">
        <v>0.19999999999999574</v>
      </c>
    </row>
    <row r="8" spans="1:5" x14ac:dyDescent="0.2">
      <c r="A8" s="16" t="s">
        <v>135</v>
      </c>
      <c r="B8" s="7">
        <v>45347</v>
      </c>
      <c r="C8" s="29">
        <v>39.9</v>
      </c>
      <c r="D8" s="29">
        <v>38.700000000000003</v>
      </c>
      <c r="E8" s="29">
        <v>1.1999999999999957</v>
      </c>
    </row>
    <row r="9" spans="1:5" x14ac:dyDescent="0.2">
      <c r="A9" s="8" t="s">
        <v>134</v>
      </c>
      <c r="B9" s="7">
        <v>45350</v>
      </c>
      <c r="C9" s="29">
        <v>37.200000000000003</v>
      </c>
      <c r="D9" s="29">
        <v>41.7</v>
      </c>
      <c r="E9" s="29">
        <v>4.5</v>
      </c>
    </row>
    <row r="10" spans="1:5" x14ac:dyDescent="0.2">
      <c r="A10" s="16" t="s">
        <v>6</v>
      </c>
      <c r="B10" s="7">
        <v>45357</v>
      </c>
      <c r="C10" s="29">
        <v>35.5</v>
      </c>
      <c r="D10" s="29">
        <v>35</v>
      </c>
      <c r="E10" s="29">
        <v>0.5</v>
      </c>
    </row>
    <row r="11" spans="1:5" x14ac:dyDescent="0.2">
      <c r="A11" s="8" t="s">
        <v>133</v>
      </c>
      <c r="B11" s="7">
        <v>45371</v>
      </c>
      <c r="C11" s="29">
        <v>37.6</v>
      </c>
      <c r="D11" s="29">
        <v>38.299999999999997</v>
      </c>
      <c r="E11" s="29">
        <v>0.69999999999999574</v>
      </c>
    </row>
    <row r="12" spans="1:5" x14ac:dyDescent="0.2">
      <c r="A12" s="16" t="s">
        <v>9</v>
      </c>
      <c r="B12" s="7">
        <v>45375</v>
      </c>
      <c r="C12" s="29">
        <v>38.799999999999997</v>
      </c>
      <c r="D12" s="29">
        <v>41</v>
      </c>
      <c r="E12" s="29">
        <v>2.2000000000000028</v>
      </c>
    </row>
    <row r="13" spans="1:5" x14ac:dyDescent="0.2">
      <c r="A13" s="16" t="s">
        <v>12</v>
      </c>
      <c r="B13" s="7">
        <v>45385</v>
      </c>
      <c r="C13" s="29">
        <v>40.58</v>
      </c>
      <c r="D13" s="29">
        <v>40.799999999999997</v>
      </c>
      <c r="E13" s="29">
        <v>0.21999999999999886</v>
      </c>
    </row>
    <row r="14" spans="1:5" ht="14" customHeight="1" x14ac:dyDescent="0.2">
      <c r="A14" s="16" t="s">
        <v>13</v>
      </c>
      <c r="B14" s="7">
        <v>45389</v>
      </c>
      <c r="C14" s="29">
        <v>39.9</v>
      </c>
      <c r="D14" s="29">
        <v>40.799999999999997</v>
      </c>
      <c r="E14" s="29">
        <v>0.89999999999999858</v>
      </c>
    </row>
    <row r="15" spans="1:5" x14ac:dyDescent="0.2">
      <c r="A15" s="16" t="s">
        <v>15</v>
      </c>
      <c r="B15" s="7">
        <v>45396</v>
      </c>
      <c r="C15" s="29">
        <v>38.700000000000003</v>
      </c>
      <c r="D15" s="29">
        <v>39.5</v>
      </c>
      <c r="E15" s="29">
        <v>0.79999999999999716</v>
      </c>
    </row>
    <row r="16" spans="1:5" x14ac:dyDescent="0.2">
      <c r="A16" s="16" t="s">
        <v>16</v>
      </c>
      <c r="B16" s="7">
        <v>45399</v>
      </c>
      <c r="C16" s="29">
        <v>39.1</v>
      </c>
      <c r="D16" s="29">
        <v>39.700000000000003</v>
      </c>
      <c r="E16" s="29">
        <v>0.60000000000000142</v>
      </c>
    </row>
    <row r="17" spans="1:5" x14ac:dyDescent="0.2">
      <c r="A17" s="8" t="s">
        <v>144</v>
      </c>
      <c r="B17" s="7">
        <v>45406</v>
      </c>
      <c r="C17" s="29">
        <v>37.6</v>
      </c>
      <c r="D17" s="29">
        <v>38.4</v>
      </c>
      <c r="E17" s="29">
        <v>0.79999999999999716</v>
      </c>
    </row>
    <row r="18" spans="1:5" x14ac:dyDescent="0.2">
      <c r="A18" s="16" t="s">
        <v>19</v>
      </c>
      <c r="B18" s="7">
        <v>45413</v>
      </c>
      <c r="C18" s="29">
        <v>40.700000000000003</v>
      </c>
      <c r="D18" s="29">
        <v>39.5</v>
      </c>
      <c r="E18" s="29">
        <v>1.2000000000000028</v>
      </c>
    </row>
    <row r="19" spans="1:5" x14ac:dyDescent="0.2">
      <c r="A19" s="16" t="s">
        <v>20</v>
      </c>
      <c r="B19" s="7">
        <v>45417</v>
      </c>
      <c r="C19" s="29">
        <v>39.799999999999997</v>
      </c>
      <c r="D19" s="29">
        <v>40.200000000000003</v>
      </c>
      <c r="E19" s="29">
        <v>0.40000000000000568</v>
      </c>
    </row>
    <row r="20" spans="1:5" x14ac:dyDescent="0.2">
      <c r="A20" s="8" t="s">
        <v>145</v>
      </c>
      <c r="B20" s="7">
        <v>45427</v>
      </c>
      <c r="C20" s="29">
        <v>27.3</v>
      </c>
      <c r="D20" s="29">
        <v>39.9</v>
      </c>
      <c r="E20" s="29">
        <v>12.599999999999998</v>
      </c>
    </row>
    <row r="21" spans="1:5" x14ac:dyDescent="0.2">
      <c r="A21" s="8" t="s">
        <v>146</v>
      </c>
      <c r="B21" s="7">
        <v>45431</v>
      </c>
      <c r="C21" s="29">
        <v>26.7</v>
      </c>
      <c r="D21" s="29">
        <v>37.700000000000003</v>
      </c>
      <c r="E21" s="29">
        <v>11.000000000000004</v>
      </c>
    </row>
    <row r="22" spans="1:5" x14ac:dyDescent="0.2">
      <c r="A22" s="8" t="s">
        <v>149</v>
      </c>
      <c r="B22" s="7">
        <v>45441</v>
      </c>
      <c r="C22" s="29">
        <v>39.700000000000003</v>
      </c>
      <c r="D22" s="29">
        <v>40.9</v>
      </c>
      <c r="E22" s="29">
        <v>1.1999999999999957</v>
      </c>
    </row>
    <row r="23" spans="1:5" x14ac:dyDescent="0.2">
      <c r="A23" s="8" t="s">
        <v>151</v>
      </c>
      <c r="B23" s="7">
        <v>45452</v>
      </c>
      <c r="C23" s="29">
        <v>27.6</v>
      </c>
      <c r="D23" s="29">
        <v>40.200000000000003</v>
      </c>
      <c r="E23" s="29">
        <v>12.600000000000001</v>
      </c>
    </row>
    <row r="24" spans="1:5" x14ac:dyDescent="0.2">
      <c r="A24" s="8" t="s">
        <v>152</v>
      </c>
      <c r="B24" s="7">
        <v>45455</v>
      </c>
      <c r="C24" s="29">
        <v>25.8</v>
      </c>
      <c r="D24" s="29">
        <v>38.5</v>
      </c>
      <c r="E24" s="29">
        <v>12.7</v>
      </c>
    </row>
    <row r="25" spans="1:5" x14ac:dyDescent="0.2">
      <c r="A25" s="16" t="s">
        <v>22</v>
      </c>
      <c r="B25" s="7">
        <v>45466</v>
      </c>
      <c r="C25" s="29">
        <v>38.4</v>
      </c>
      <c r="D25" s="29">
        <v>39.799999999999997</v>
      </c>
      <c r="E25" s="29">
        <v>1.3999999999999986</v>
      </c>
    </row>
    <row r="26" spans="1:5" x14ac:dyDescent="0.2">
      <c r="A26" s="8" t="s">
        <v>154</v>
      </c>
      <c r="B26" s="7">
        <v>45469</v>
      </c>
      <c r="C26" s="29">
        <v>39.799999999999997</v>
      </c>
      <c r="D26" s="29">
        <v>38.200000000000003</v>
      </c>
      <c r="E26" s="29">
        <v>1.5999999999999943</v>
      </c>
    </row>
    <row r="27" spans="1:5" x14ac:dyDescent="0.2">
      <c r="A27" s="16" t="s">
        <v>23</v>
      </c>
      <c r="B27" s="7">
        <v>45473</v>
      </c>
      <c r="C27" s="29">
        <v>39.299999999999997</v>
      </c>
      <c r="D27" s="29">
        <v>41.2</v>
      </c>
      <c r="E27" s="29">
        <v>1.9000000000000057</v>
      </c>
    </row>
    <row r="28" spans="1:5" x14ac:dyDescent="0.2">
      <c r="A28" s="16" t="s">
        <v>27</v>
      </c>
      <c r="B28" s="21">
        <v>45483</v>
      </c>
      <c r="C28" s="29">
        <v>40.4</v>
      </c>
      <c r="D28" s="29">
        <v>40.4</v>
      </c>
      <c r="E28" s="29">
        <v>0</v>
      </c>
    </row>
    <row r="29" spans="1:5" x14ac:dyDescent="0.2">
      <c r="A29" s="16" t="s">
        <v>28</v>
      </c>
      <c r="B29" s="21">
        <v>45484</v>
      </c>
      <c r="C29" s="29">
        <v>30.6</v>
      </c>
      <c r="D29" s="29">
        <v>30.8</v>
      </c>
      <c r="E29" s="29">
        <v>0.19999999999999929</v>
      </c>
    </row>
    <row r="30" spans="1:5" x14ac:dyDescent="0.2">
      <c r="A30" s="16" t="s">
        <v>31</v>
      </c>
      <c r="B30" s="21">
        <v>45501</v>
      </c>
      <c r="C30" s="29">
        <v>39.1</v>
      </c>
      <c r="D30" s="29">
        <v>38.9</v>
      </c>
      <c r="E30" s="29">
        <v>0.20000000000000284</v>
      </c>
    </row>
    <row r="31" spans="1:5" x14ac:dyDescent="0.2">
      <c r="A31" s="16" t="s">
        <v>32</v>
      </c>
      <c r="B31" s="21">
        <v>45508</v>
      </c>
      <c r="C31" s="29">
        <v>40.700000000000003</v>
      </c>
      <c r="D31" s="29">
        <v>39.200000000000003</v>
      </c>
      <c r="E31" s="29">
        <v>1.5</v>
      </c>
    </row>
    <row r="32" spans="1:5" x14ac:dyDescent="0.2">
      <c r="A32" s="16" t="s">
        <v>33</v>
      </c>
      <c r="B32" s="21">
        <v>45511</v>
      </c>
      <c r="C32" s="29">
        <v>39.799999999999997</v>
      </c>
      <c r="D32" s="29">
        <v>40.9</v>
      </c>
      <c r="E32" s="29">
        <v>1.1000000000000014</v>
      </c>
    </row>
    <row r="33" spans="1:5" x14ac:dyDescent="0.2">
      <c r="A33" s="16" t="s">
        <v>36</v>
      </c>
      <c r="B33" s="21">
        <v>45515</v>
      </c>
      <c r="C33" s="29">
        <v>41.3</v>
      </c>
      <c r="D33" s="29">
        <v>41</v>
      </c>
      <c r="E33" s="29">
        <v>0.29999999999999716</v>
      </c>
    </row>
    <row r="34" spans="1:5" x14ac:dyDescent="0.2">
      <c r="A34" s="16" t="s">
        <v>42</v>
      </c>
      <c r="B34" s="20" t="s">
        <v>43</v>
      </c>
      <c r="C34" s="29">
        <v>39.4</v>
      </c>
      <c r="D34" s="29">
        <v>42</v>
      </c>
      <c r="E34" s="29">
        <v>2.6000000000000014</v>
      </c>
    </row>
    <row r="35" spans="1:5" x14ac:dyDescent="0.2">
      <c r="A35" s="16" t="s">
        <v>46</v>
      </c>
      <c r="B35" s="21">
        <v>45543</v>
      </c>
      <c r="C35" s="29">
        <v>40.5</v>
      </c>
      <c r="D35" s="29">
        <v>40.9</v>
      </c>
      <c r="E35" s="29">
        <v>0.39999999999999858</v>
      </c>
    </row>
    <row r="36" spans="1:5" x14ac:dyDescent="0.2">
      <c r="A36" s="16" t="s">
        <v>47</v>
      </c>
      <c r="B36" s="21">
        <v>45546</v>
      </c>
      <c r="C36" s="29">
        <v>39.200000000000003</v>
      </c>
      <c r="D36" s="29">
        <v>38.4</v>
      </c>
      <c r="E36" s="29">
        <v>0.80000000000000426</v>
      </c>
    </row>
    <row r="37" spans="1:5" x14ac:dyDescent="0.2">
      <c r="A37" s="16" t="s">
        <v>48</v>
      </c>
      <c r="B37" s="21">
        <v>45550</v>
      </c>
      <c r="C37" s="29">
        <v>40</v>
      </c>
      <c r="D37" s="29">
        <v>39.799999999999997</v>
      </c>
      <c r="E37" s="29">
        <v>0.20000000000000284</v>
      </c>
    </row>
    <row r="38" spans="1:5" x14ac:dyDescent="0.2">
      <c r="A38" s="16" t="s">
        <v>49</v>
      </c>
      <c r="B38" s="20" t="s">
        <v>50</v>
      </c>
      <c r="C38" s="29">
        <v>39.6</v>
      </c>
      <c r="D38" s="29">
        <v>38.1</v>
      </c>
      <c r="E38" s="29">
        <v>1.5</v>
      </c>
    </row>
    <row r="39" spans="1:5" x14ac:dyDescent="0.2">
      <c r="A39" s="8" t="s">
        <v>156</v>
      </c>
      <c r="B39" s="7">
        <v>45560</v>
      </c>
      <c r="C39" s="29">
        <v>40.799999999999997</v>
      </c>
      <c r="D39" s="29">
        <v>39.799999999999997</v>
      </c>
      <c r="E39" s="29">
        <v>1</v>
      </c>
    </row>
    <row r="40" spans="1:5" x14ac:dyDescent="0.2">
      <c r="A40" s="16" t="s">
        <v>52</v>
      </c>
      <c r="B40" s="21">
        <v>45564</v>
      </c>
      <c r="C40" s="29">
        <v>38.4</v>
      </c>
      <c r="D40" s="29">
        <v>41.1</v>
      </c>
      <c r="E40" s="29">
        <v>2.7000000000000028</v>
      </c>
    </row>
    <row r="41" spans="1:5" x14ac:dyDescent="0.2">
      <c r="A41" s="16" t="s">
        <v>54</v>
      </c>
      <c r="B41" s="21">
        <v>45571</v>
      </c>
      <c r="C41" s="29">
        <v>40.9</v>
      </c>
      <c r="D41" s="29">
        <v>39.299999999999997</v>
      </c>
      <c r="E41" s="29">
        <v>1.6000000000000014</v>
      </c>
    </row>
    <row r="42" spans="1:5" x14ac:dyDescent="0.2">
      <c r="A42" s="16" t="s">
        <v>55</v>
      </c>
      <c r="B42" s="21">
        <v>45574</v>
      </c>
      <c r="C42" s="29">
        <v>41.1</v>
      </c>
      <c r="D42" s="29">
        <v>39</v>
      </c>
      <c r="E42" s="29">
        <v>2.1000000000000014</v>
      </c>
    </row>
    <row r="43" spans="1:5" x14ac:dyDescent="0.2">
      <c r="A43" s="16" t="s">
        <v>57</v>
      </c>
      <c r="B43" s="20" t="s">
        <v>58</v>
      </c>
      <c r="C43" s="29">
        <v>39.1</v>
      </c>
      <c r="D43" s="29">
        <v>38.9</v>
      </c>
      <c r="E43" s="29">
        <v>0.20000000000000284</v>
      </c>
    </row>
    <row r="44" spans="1:5" x14ac:dyDescent="0.2">
      <c r="A44" s="16" t="s">
        <v>59</v>
      </c>
      <c r="B44" s="21">
        <v>45585</v>
      </c>
      <c r="C44" s="29">
        <v>37</v>
      </c>
      <c r="D44" s="29">
        <v>36.799999999999997</v>
      </c>
      <c r="E44" s="29">
        <v>0.20000000000000284</v>
      </c>
    </row>
    <row r="45" spans="1:5" x14ac:dyDescent="0.2">
      <c r="A45" s="16" t="s">
        <v>61</v>
      </c>
      <c r="B45" s="21">
        <v>45592</v>
      </c>
      <c r="C45" s="29">
        <v>39.200000000000003</v>
      </c>
      <c r="D45" s="29">
        <v>39.1</v>
      </c>
      <c r="E45" s="29">
        <v>0.10000000000000142</v>
      </c>
    </row>
    <row r="46" spans="1:5" x14ac:dyDescent="0.2">
      <c r="A46" s="8" t="s">
        <v>157</v>
      </c>
      <c r="B46" s="7">
        <v>45595</v>
      </c>
      <c r="C46" s="29">
        <v>37.9</v>
      </c>
      <c r="D46" s="29">
        <v>42.2</v>
      </c>
      <c r="E46" s="29">
        <v>4.3000000000000043</v>
      </c>
    </row>
    <row r="47" spans="1:5" x14ac:dyDescent="0.2">
      <c r="A47" s="16" t="s">
        <v>64</v>
      </c>
      <c r="B47" s="20" t="s">
        <v>65</v>
      </c>
      <c r="C47" s="29">
        <v>36.9</v>
      </c>
      <c r="D47" s="29">
        <v>35.9</v>
      </c>
      <c r="E47" s="29">
        <v>1</v>
      </c>
    </row>
    <row r="48" spans="1:5" x14ac:dyDescent="0.2">
      <c r="A48" s="16" t="s">
        <v>66</v>
      </c>
      <c r="B48" s="20" t="s">
        <v>67</v>
      </c>
      <c r="C48" s="29">
        <v>37.1</v>
      </c>
      <c r="D48" s="29">
        <v>37.299999999999997</v>
      </c>
      <c r="E48" s="29">
        <v>0.19999999999999574</v>
      </c>
    </row>
    <row r="49" spans="1:5" x14ac:dyDescent="0.2">
      <c r="A49" s="16" t="s">
        <v>68</v>
      </c>
      <c r="B49" s="21">
        <v>45609</v>
      </c>
      <c r="C49" s="29">
        <v>38</v>
      </c>
      <c r="D49" s="29">
        <v>38.6</v>
      </c>
      <c r="E49" s="29">
        <v>0.60000000000000142</v>
      </c>
    </row>
    <row r="50" spans="1:5" x14ac:dyDescent="0.2">
      <c r="A50" s="16" t="s">
        <v>69</v>
      </c>
      <c r="B50" s="21">
        <v>45613</v>
      </c>
      <c r="C50" s="29">
        <v>39.5</v>
      </c>
      <c r="D50" s="29">
        <v>38</v>
      </c>
      <c r="E50" s="29">
        <v>1.5</v>
      </c>
    </row>
    <row r="51" spans="1:5" x14ac:dyDescent="0.2">
      <c r="A51" s="16" t="s">
        <v>70</v>
      </c>
      <c r="B51" s="20" t="s">
        <v>71</v>
      </c>
      <c r="C51" s="29">
        <v>38.700000000000003</v>
      </c>
      <c r="D51" s="29">
        <v>38.1</v>
      </c>
      <c r="E51" s="29">
        <v>0.60000000000000142</v>
      </c>
    </row>
    <row r="52" spans="1:5" x14ac:dyDescent="0.2">
      <c r="A52" s="16" t="s">
        <v>72</v>
      </c>
      <c r="B52" s="20" t="s">
        <v>73</v>
      </c>
      <c r="C52" s="29">
        <v>39.5</v>
      </c>
      <c r="D52" s="29">
        <v>41</v>
      </c>
      <c r="E52" s="29">
        <v>1.5</v>
      </c>
    </row>
    <row r="53" spans="1:5" x14ac:dyDescent="0.2">
      <c r="A53" s="8" t="s">
        <v>158</v>
      </c>
      <c r="B53" s="7">
        <v>45623</v>
      </c>
      <c r="C53" s="29">
        <v>37.799999999999997</v>
      </c>
      <c r="D53" s="29">
        <v>39.5</v>
      </c>
      <c r="E53" s="29">
        <v>1.7000000000000028</v>
      </c>
    </row>
    <row r="54" spans="1:5" x14ac:dyDescent="0.2">
      <c r="A54" s="16" t="s">
        <v>74</v>
      </c>
      <c r="B54" s="20" t="s">
        <v>75</v>
      </c>
      <c r="C54" s="29">
        <v>38.5</v>
      </c>
      <c r="D54" s="29">
        <v>39.5</v>
      </c>
      <c r="E54" s="29">
        <v>1</v>
      </c>
    </row>
    <row r="55" spans="1:5" x14ac:dyDescent="0.2">
      <c r="A55" s="16" t="s">
        <v>76</v>
      </c>
      <c r="B55" s="20" t="s">
        <v>77</v>
      </c>
      <c r="C55" s="29">
        <v>40.299999999999997</v>
      </c>
      <c r="D55" s="29">
        <v>39.6</v>
      </c>
      <c r="E55" s="29">
        <v>0.69999999999999574</v>
      </c>
    </row>
    <row r="56" spans="1:5" x14ac:dyDescent="0.2">
      <c r="A56" s="16" t="s">
        <v>78</v>
      </c>
      <c r="B56" s="20" t="s">
        <v>79</v>
      </c>
      <c r="C56" s="29">
        <v>39</v>
      </c>
      <c r="D56" s="29">
        <v>38.700000000000003</v>
      </c>
      <c r="E56" s="29">
        <v>0.29999999999999716</v>
      </c>
    </row>
    <row r="57" spans="1:5" x14ac:dyDescent="0.2">
      <c r="A57" s="16" t="s">
        <v>80</v>
      </c>
      <c r="B57" s="21">
        <v>45637</v>
      </c>
      <c r="C57" s="29">
        <v>38.5</v>
      </c>
      <c r="D57" s="29">
        <v>41.2</v>
      </c>
      <c r="E57" s="29">
        <v>2.7000000000000028</v>
      </c>
    </row>
    <row r="58" spans="1:5" x14ac:dyDescent="0.2">
      <c r="A58" s="16" t="s">
        <v>85</v>
      </c>
      <c r="B58" s="20" t="s">
        <v>86</v>
      </c>
      <c r="C58" s="29">
        <v>38.200000000000003</v>
      </c>
      <c r="D58" s="29">
        <v>40</v>
      </c>
      <c r="E58" s="29">
        <v>1.7999999999999972</v>
      </c>
    </row>
    <row r="59" spans="1:5" x14ac:dyDescent="0.2">
      <c r="A59" s="8" t="s">
        <v>159</v>
      </c>
      <c r="B59" s="7">
        <v>45651</v>
      </c>
      <c r="C59" s="29">
        <v>39</v>
      </c>
      <c r="D59" s="29">
        <v>40.299999999999997</v>
      </c>
      <c r="E59" s="29">
        <v>1.2999999999999972</v>
      </c>
    </row>
    <row r="60" spans="1:5" x14ac:dyDescent="0.2">
      <c r="A60" s="16" t="s">
        <v>87</v>
      </c>
      <c r="B60" s="20" t="s">
        <v>88</v>
      </c>
      <c r="C60" s="29">
        <v>38.299999999999997</v>
      </c>
      <c r="D60" s="29">
        <v>39.1</v>
      </c>
      <c r="E60" s="29">
        <v>0.80000000000000426</v>
      </c>
    </row>
    <row r="61" spans="1:5" x14ac:dyDescent="0.2">
      <c r="A61" s="16" t="s">
        <v>89</v>
      </c>
      <c r="B61" s="20" t="s">
        <v>90</v>
      </c>
      <c r="C61" s="29">
        <v>38.799999999999997</v>
      </c>
      <c r="D61" s="29">
        <v>40.1</v>
      </c>
      <c r="E61" s="29">
        <v>1.3000000000000043</v>
      </c>
    </row>
    <row r="62" spans="1:5" x14ac:dyDescent="0.2">
      <c r="A62" s="16" t="s">
        <v>91</v>
      </c>
      <c r="B62" s="20" t="s">
        <v>92</v>
      </c>
      <c r="C62" s="29">
        <v>39.299999999999997</v>
      </c>
      <c r="D62" s="29">
        <v>40.299999999999997</v>
      </c>
      <c r="E62" s="29">
        <v>1</v>
      </c>
    </row>
    <row r="63" spans="1:5" x14ac:dyDescent="0.2">
      <c r="A63" s="16" t="s">
        <v>93</v>
      </c>
      <c r="B63" s="21">
        <v>45665</v>
      </c>
      <c r="C63" s="29">
        <v>40.4</v>
      </c>
      <c r="D63" s="29">
        <v>37.4</v>
      </c>
      <c r="E63" s="29">
        <v>3</v>
      </c>
    </row>
    <row r="64" spans="1:5" x14ac:dyDescent="0.2">
      <c r="A64" s="16" t="s">
        <v>94</v>
      </c>
      <c r="B64" s="21">
        <v>45669</v>
      </c>
      <c r="C64" s="29">
        <v>42.3</v>
      </c>
      <c r="D64" s="29">
        <v>40.700000000000003</v>
      </c>
      <c r="E64" s="29">
        <v>1.5999999999999943</v>
      </c>
    </row>
    <row r="65" spans="1:5" x14ac:dyDescent="0.2">
      <c r="A65" s="16" t="s">
        <v>95</v>
      </c>
      <c r="B65" s="20" t="s">
        <v>96</v>
      </c>
      <c r="C65" s="29">
        <v>41.8</v>
      </c>
      <c r="D65" s="29">
        <v>39.299999999999997</v>
      </c>
      <c r="E65" s="29">
        <v>2.5</v>
      </c>
    </row>
    <row r="66" spans="1:5" x14ac:dyDescent="0.2">
      <c r="A66" s="16" t="s">
        <v>97</v>
      </c>
      <c r="B66" s="21">
        <v>45676</v>
      </c>
      <c r="C66" s="29">
        <v>39</v>
      </c>
      <c r="D66" s="29">
        <v>39.6</v>
      </c>
      <c r="E66" s="29">
        <v>0.60000000000000142</v>
      </c>
    </row>
    <row r="67" spans="1:5" x14ac:dyDescent="0.2">
      <c r="A67" s="16" t="s">
        <v>98</v>
      </c>
      <c r="B67" s="21">
        <v>45679</v>
      </c>
      <c r="C67" s="29">
        <v>40.5</v>
      </c>
      <c r="D67" s="29">
        <v>38.799999999999997</v>
      </c>
      <c r="E67" s="29">
        <v>1.7000000000000028</v>
      </c>
    </row>
    <row r="68" spans="1:5" x14ac:dyDescent="0.2">
      <c r="A68" s="16" t="s">
        <v>99</v>
      </c>
      <c r="B68" s="20" t="s">
        <v>100</v>
      </c>
      <c r="C68" s="29">
        <v>41</v>
      </c>
      <c r="D68" s="29">
        <v>38.5</v>
      </c>
      <c r="E68" s="29">
        <v>2.5</v>
      </c>
    </row>
    <row r="69" spans="1:5" x14ac:dyDescent="0.2">
      <c r="A69" s="23" t="s">
        <v>160</v>
      </c>
      <c r="B69" s="7">
        <v>45686</v>
      </c>
      <c r="C69" s="29">
        <v>38.5</v>
      </c>
      <c r="D69" s="29">
        <v>39</v>
      </c>
      <c r="E69" s="29">
        <v>0.5</v>
      </c>
    </row>
  </sheetData>
  <conditionalFormatting sqref="E2:E42">
    <cfRule type="cellIs" dxfId="0" priority="1" operator="greaterThan">
      <formula>3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2"/>
  <sheetViews>
    <sheetView workbookViewId="0">
      <selection activeCell="E1" sqref="E1"/>
    </sheetView>
  </sheetViews>
  <sheetFormatPr baseColWidth="10" defaultRowHeight="15" x14ac:dyDescent="0.2"/>
  <cols>
    <col min="3" max="5" width="10.83203125" style="2"/>
  </cols>
  <sheetData>
    <row r="1" spans="1:5" x14ac:dyDescent="0.2">
      <c r="A1" s="3" t="s">
        <v>103</v>
      </c>
      <c r="B1" s="4" t="s">
        <v>1</v>
      </c>
      <c r="C1" s="3" t="s">
        <v>197</v>
      </c>
      <c r="D1" s="3" t="s">
        <v>198</v>
      </c>
      <c r="E1" s="3" t="s">
        <v>163</v>
      </c>
    </row>
    <row r="2" spans="1:5" x14ac:dyDescent="0.2">
      <c r="A2" s="34" t="s">
        <v>143</v>
      </c>
      <c r="B2" s="35">
        <v>45315</v>
      </c>
      <c r="C2" s="31">
        <v>39.299999999999997</v>
      </c>
      <c r="D2" s="31">
        <v>38.9</v>
      </c>
      <c r="E2" s="31">
        <v>0.39999999999999858</v>
      </c>
    </row>
    <row r="3" spans="1:5" x14ac:dyDescent="0.2">
      <c r="A3" s="34" t="s">
        <v>142</v>
      </c>
      <c r="B3" s="35">
        <v>45319</v>
      </c>
      <c r="C3" s="31">
        <v>37.9</v>
      </c>
      <c r="D3" s="31">
        <v>36.700000000000003</v>
      </c>
      <c r="E3" s="31">
        <v>1.1999999999999957</v>
      </c>
    </row>
    <row r="4" spans="1:5" x14ac:dyDescent="0.2">
      <c r="A4" s="31" t="s">
        <v>141</v>
      </c>
      <c r="B4" s="35">
        <v>45322</v>
      </c>
      <c r="C4" s="31">
        <v>35.4</v>
      </c>
      <c r="D4" s="31">
        <v>35.299999999999997</v>
      </c>
      <c r="E4" s="31">
        <v>0.10000000000000142</v>
      </c>
    </row>
    <row r="5" spans="1:5" x14ac:dyDescent="0.2">
      <c r="A5" s="34" t="s">
        <v>137</v>
      </c>
      <c r="B5" s="35">
        <v>45340</v>
      </c>
      <c r="C5" s="31">
        <v>40.299999999999997</v>
      </c>
      <c r="D5" s="31">
        <v>37.799999999999997</v>
      </c>
      <c r="E5" s="31">
        <v>2.5</v>
      </c>
    </row>
    <row r="6" spans="1:5" x14ac:dyDescent="0.2">
      <c r="A6" s="34" t="s">
        <v>136</v>
      </c>
      <c r="B6" s="35">
        <v>45343</v>
      </c>
      <c r="C6" s="31">
        <v>39.1</v>
      </c>
      <c r="D6" s="31">
        <v>41.5</v>
      </c>
      <c r="E6" s="31">
        <v>2.3999999999999986</v>
      </c>
    </row>
    <row r="7" spans="1:5" x14ac:dyDescent="0.2">
      <c r="A7" s="34" t="s">
        <v>135</v>
      </c>
      <c r="B7" s="35">
        <v>45347</v>
      </c>
      <c r="C7" s="31">
        <v>39.1</v>
      </c>
      <c r="D7" s="31">
        <v>38.700000000000003</v>
      </c>
      <c r="E7" s="31">
        <v>0.39999999999999858</v>
      </c>
    </row>
    <row r="8" spans="1:5" x14ac:dyDescent="0.2">
      <c r="A8" s="31" t="s">
        <v>134</v>
      </c>
      <c r="B8" s="35">
        <v>45350</v>
      </c>
      <c r="C8" s="31">
        <v>37.6</v>
      </c>
      <c r="D8" s="31">
        <v>39.4</v>
      </c>
      <c r="E8" s="31">
        <v>1.7999999999999972</v>
      </c>
    </row>
    <row r="9" spans="1:5" x14ac:dyDescent="0.2">
      <c r="A9" s="34" t="s">
        <v>12</v>
      </c>
      <c r="B9" s="35">
        <v>45385</v>
      </c>
      <c r="C9" s="31">
        <v>37.700000000000003</v>
      </c>
      <c r="D9" s="31">
        <v>38</v>
      </c>
      <c r="E9" s="31">
        <v>0.29999999999999716</v>
      </c>
    </row>
    <row r="10" spans="1:5" x14ac:dyDescent="0.2">
      <c r="A10" s="34" t="s">
        <v>13</v>
      </c>
      <c r="B10" s="35">
        <v>45389</v>
      </c>
      <c r="C10" s="31">
        <v>38.6</v>
      </c>
      <c r="D10" s="31">
        <v>37.299999999999997</v>
      </c>
      <c r="E10" s="31">
        <v>1.3000000000000043</v>
      </c>
    </row>
    <row r="11" spans="1:5" x14ac:dyDescent="0.2">
      <c r="A11" s="34" t="s">
        <v>15</v>
      </c>
      <c r="B11" s="35">
        <v>45396</v>
      </c>
      <c r="C11" s="31">
        <v>37.6</v>
      </c>
      <c r="D11" s="31">
        <v>37</v>
      </c>
      <c r="E11" s="31">
        <v>0.60000000000000142</v>
      </c>
    </row>
    <row r="12" spans="1:5" x14ac:dyDescent="0.2">
      <c r="A12" s="34" t="s">
        <v>16</v>
      </c>
      <c r="B12" s="35">
        <v>45399</v>
      </c>
      <c r="C12" s="31">
        <v>38</v>
      </c>
      <c r="D12" s="31">
        <v>37.799999999999997</v>
      </c>
      <c r="E12" s="31">
        <v>0.20000000000000284</v>
      </c>
    </row>
    <row r="13" spans="1:5" x14ac:dyDescent="0.2">
      <c r="A13" s="34" t="s">
        <v>19</v>
      </c>
      <c r="B13" s="35">
        <v>45413</v>
      </c>
      <c r="C13" s="31">
        <v>39.4</v>
      </c>
      <c r="D13" s="31">
        <v>40</v>
      </c>
      <c r="E13" s="31">
        <v>0.60000000000000142</v>
      </c>
    </row>
    <row r="14" spans="1:5" x14ac:dyDescent="0.2">
      <c r="A14" s="31" t="s">
        <v>145</v>
      </c>
      <c r="B14" s="35">
        <v>45427</v>
      </c>
      <c r="C14" s="31">
        <v>25.1</v>
      </c>
      <c r="D14" s="31">
        <v>39.200000000000003</v>
      </c>
      <c r="E14" s="42">
        <v>14.100000000000001</v>
      </c>
    </row>
    <row r="15" spans="1:5" x14ac:dyDescent="0.2">
      <c r="A15" s="31" t="s">
        <v>146</v>
      </c>
      <c r="B15" s="35">
        <v>45431</v>
      </c>
      <c r="C15" s="31">
        <v>27.7</v>
      </c>
      <c r="D15" s="31">
        <v>39.9</v>
      </c>
      <c r="E15" s="42">
        <v>12.2</v>
      </c>
    </row>
    <row r="16" spans="1:5" x14ac:dyDescent="0.2">
      <c r="A16" s="31" t="s">
        <v>147</v>
      </c>
      <c r="B16" s="35">
        <v>45434</v>
      </c>
      <c r="C16" s="31">
        <v>26.3</v>
      </c>
      <c r="D16" s="31">
        <v>38.6</v>
      </c>
      <c r="E16" s="42">
        <v>12.3</v>
      </c>
    </row>
    <row r="17" spans="1:5" x14ac:dyDescent="0.2">
      <c r="A17" s="31" t="s">
        <v>149</v>
      </c>
      <c r="B17" s="35">
        <v>45441</v>
      </c>
      <c r="C17" s="31">
        <v>39</v>
      </c>
      <c r="D17" s="31">
        <v>37.200000000000003</v>
      </c>
      <c r="E17" s="31">
        <v>1.7999999999999972</v>
      </c>
    </row>
    <row r="18" spans="1:5" x14ac:dyDescent="0.2">
      <c r="A18" s="31" t="s">
        <v>150</v>
      </c>
      <c r="B18" s="35">
        <v>45448</v>
      </c>
      <c r="C18" s="31">
        <v>23.9</v>
      </c>
      <c r="D18" s="31">
        <v>40.1</v>
      </c>
      <c r="E18" s="42">
        <v>16.200000000000003</v>
      </c>
    </row>
    <row r="19" spans="1:5" x14ac:dyDescent="0.2">
      <c r="A19" s="34" t="s">
        <v>22</v>
      </c>
      <c r="B19" s="35">
        <v>45466</v>
      </c>
      <c r="C19" s="31">
        <v>37.799999999999997</v>
      </c>
      <c r="D19" s="31">
        <v>39.5</v>
      </c>
      <c r="E19" s="31">
        <v>1.7000000000000028</v>
      </c>
    </row>
    <row r="20" spans="1:5" x14ac:dyDescent="0.2">
      <c r="A20" s="31" t="s">
        <v>154</v>
      </c>
      <c r="B20" s="35">
        <v>45469</v>
      </c>
      <c r="C20" s="31">
        <v>37.1</v>
      </c>
      <c r="D20" s="31">
        <v>38.9</v>
      </c>
      <c r="E20" s="31">
        <v>1.7999999999999972</v>
      </c>
    </row>
    <row r="21" spans="1:5" x14ac:dyDescent="0.2">
      <c r="A21" s="34" t="s">
        <v>23</v>
      </c>
      <c r="B21" s="35">
        <v>45473</v>
      </c>
      <c r="C21" s="31">
        <v>40</v>
      </c>
      <c r="D21" s="31">
        <v>39</v>
      </c>
      <c r="E21" s="31">
        <v>1</v>
      </c>
    </row>
    <row r="22" spans="1:5" x14ac:dyDescent="0.2">
      <c r="A22" s="34" t="s">
        <v>27</v>
      </c>
      <c r="B22" s="37">
        <v>45483</v>
      </c>
      <c r="C22" s="31">
        <v>39.1</v>
      </c>
      <c r="D22" s="31">
        <v>40.200000000000003</v>
      </c>
      <c r="E22" s="31">
        <v>1.1000000000000014</v>
      </c>
    </row>
    <row r="23" spans="1:5" x14ac:dyDescent="0.2">
      <c r="A23" s="34" t="s">
        <v>31</v>
      </c>
      <c r="B23" s="37">
        <v>45501</v>
      </c>
      <c r="C23" s="31">
        <v>39.1</v>
      </c>
      <c r="D23" s="31">
        <v>37.200000000000003</v>
      </c>
      <c r="E23" s="31">
        <v>1.8999999999999986</v>
      </c>
    </row>
    <row r="24" spans="1:5" x14ac:dyDescent="0.2">
      <c r="A24" s="34" t="s">
        <v>33</v>
      </c>
      <c r="B24" s="37">
        <v>45511</v>
      </c>
      <c r="C24" s="31">
        <v>38</v>
      </c>
      <c r="D24" s="31">
        <v>37.4</v>
      </c>
      <c r="E24" s="31">
        <v>0.60000000000000142</v>
      </c>
    </row>
    <row r="25" spans="1:5" x14ac:dyDescent="0.2">
      <c r="A25" s="34" t="s">
        <v>36</v>
      </c>
      <c r="B25" s="37">
        <v>45515</v>
      </c>
      <c r="C25" s="31">
        <v>38.700000000000003</v>
      </c>
      <c r="D25" s="31">
        <v>41.4</v>
      </c>
      <c r="E25" s="31">
        <v>2.6999999999999957</v>
      </c>
    </row>
    <row r="26" spans="1:5" x14ac:dyDescent="0.2">
      <c r="A26" s="34" t="s">
        <v>40</v>
      </c>
      <c r="B26" s="36" t="s">
        <v>41</v>
      </c>
      <c r="C26" s="31">
        <v>39</v>
      </c>
      <c r="D26" s="31">
        <v>39.5</v>
      </c>
      <c r="E26" s="31">
        <v>0.5</v>
      </c>
    </row>
    <row r="27" spans="1:5" x14ac:dyDescent="0.2">
      <c r="A27" s="34" t="s">
        <v>42</v>
      </c>
      <c r="B27" s="36" t="s">
        <v>43</v>
      </c>
      <c r="C27" s="31">
        <v>38.5</v>
      </c>
      <c r="D27" s="31">
        <v>40.299999999999997</v>
      </c>
      <c r="E27" s="31">
        <v>1.7999999999999972</v>
      </c>
    </row>
    <row r="28" spans="1:5" x14ac:dyDescent="0.2">
      <c r="A28" s="34" t="s">
        <v>44</v>
      </c>
      <c r="B28" s="36" t="s">
        <v>45</v>
      </c>
      <c r="C28" s="31">
        <v>38.5</v>
      </c>
      <c r="D28" s="31">
        <v>39.5</v>
      </c>
      <c r="E28" s="31">
        <v>1</v>
      </c>
    </row>
    <row r="29" spans="1:5" x14ac:dyDescent="0.2">
      <c r="A29" s="34" t="s">
        <v>48</v>
      </c>
      <c r="B29" s="37">
        <v>45550</v>
      </c>
      <c r="C29" s="31">
        <v>37.5</v>
      </c>
      <c r="D29" s="31">
        <v>38</v>
      </c>
      <c r="E29" s="31">
        <v>0.5</v>
      </c>
    </row>
    <row r="30" spans="1:5" x14ac:dyDescent="0.2">
      <c r="A30" s="34" t="s">
        <v>49</v>
      </c>
      <c r="B30" s="36" t="s">
        <v>50</v>
      </c>
      <c r="C30" s="31">
        <v>36.700000000000003</v>
      </c>
      <c r="D30" s="31">
        <v>38.5</v>
      </c>
      <c r="E30" s="31">
        <v>1.7999999999999972</v>
      </c>
    </row>
    <row r="31" spans="1:5" x14ac:dyDescent="0.2">
      <c r="A31" s="34" t="s">
        <v>51</v>
      </c>
      <c r="B31" s="37">
        <v>45557</v>
      </c>
      <c r="C31" s="31">
        <v>38.700000000000003</v>
      </c>
      <c r="D31" s="31">
        <v>39.299999999999997</v>
      </c>
      <c r="E31" s="31">
        <v>0.59999999999999432</v>
      </c>
    </row>
    <row r="32" spans="1:5" x14ac:dyDescent="0.2">
      <c r="A32" s="31" t="s">
        <v>156</v>
      </c>
      <c r="B32" s="35">
        <v>45560</v>
      </c>
      <c r="C32" s="31">
        <v>39.6</v>
      </c>
      <c r="D32" s="31">
        <v>39.1</v>
      </c>
      <c r="E32" s="31">
        <v>0.5</v>
      </c>
    </row>
    <row r="33" spans="1:5" x14ac:dyDescent="0.2">
      <c r="A33" s="34" t="s">
        <v>52</v>
      </c>
      <c r="B33" s="37">
        <v>45564</v>
      </c>
      <c r="C33" s="31">
        <v>38.200000000000003</v>
      </c>
      <c r="D33" s="31">
        <v>39.200000000000003</v>
      </c>
      <c r="E33" s="31">
        <v>1</v>
      </c>
    </row>
    <row r="34" spans="1:5" x14ac:dyDescent="0.2">
      <c r="A34" s="34" t="s">
        <v>53</v>
      </c>
      <c r="B34" s="37">
        <v>45567</v>
      </c>
      <c r="C34" s="31">
        <v>40</v>
      </c>
      <c r="D34" s="31">
        <v>39</v>
      </c>
      <c r="E34" s="31">
        <v>1</v>
      </c>
    </row>
    <row r="35" spans="1:5" x14ac:dyDescent="0.2">
      <c r="A35" s="34" t="s">
        <v>54</v>
      </c>
      <c r="B35" s="37">
        <v>45571</v>
      </c>
      <c r="C35" s="31">
        <v>39.6</v>
      </c>
      <c r="D35" s="31">
        <v>40</v>
      </c>
      <c r="E35" s="31">
        <v>0.39999999999999858</v>
      </c>
    </row>
    <row r="36" spans="1:5" x14ac:dyDescent="0.2">
      <c r="A36" s="34" t="s">
        <v>55</v>
      </c>
      <c r="B36" s="37">
        <v>45574</v>
      </c>
      <c r="C36" s="31">
        <v>40.299999999999997</v>
      </c>
      <c r="D36" s="31">
        <v>39.9</v>
      </c>
      <c r="E36" s="31">
        <v>0.39999999999999858</v>
      </c>
    </row>
    <row r="37" spans="1:5" x14ac:dyDescent="0.2">
      <c r="A37" s="34" t="s">
        <v>56</v>
      </c>
      <c r="B37" s="37">
        <v>45578</v>
      </c>
      <c r="C37" s="31">
        <v>41</v>
      </c>
      <c r="D37" s="31">
        <v>40.200000000000003</v>
      </c>
      <c r="E37" s="31">
        <v>0.79999999999999716</v>
      </c>
    </row>
    <row r="38" spans="1:5" x14ac:dyDescent="0.2">
      <c r="A38" s="34" t="s">
        <v>57</v>
      </c>
      <c r="B38" s="36" t="s">
        <v>58</v>
      </c>
      <c r="C38" s="31">
        <v>36.700000000000003</v>
      </c>
      <c r="D38" s="31">
        <v>35.9</v>
      </c>
      <c r="E38" s="31">
        <v>0.80000000000000426</v>
      </c>
    </row>
    <row r="39" spans="1:5" x14ac:dyDescent="0.2">
      <c r="A39" s="34" t="s">
        <v>59</v>
      </c>
      <c r="B39" s="37">
        <v>45585</v>
      </c>
      <c r="C39" s="31">
        <v>39.299999999999997</v>
      </c>
      <c r="D39" s="31">
        <v>37.200000000000003</v>
      </c>
      <c r="E39" s="31">
        <v>2.0999999999999943</v>
      </c>
    </row>
    <row r="40" spans="1:5" x14ac:dyDescent="0.2">
      <c r="A40" s="34" t="s">
        <v>61</v>
      </c>
      <c r="B40" s="37">
        <v>45592</v>
      </c>
      <c r="C40" s="31">
        <v>38</v>
      </c>
      <c r="D40" s="31">
        <v>37.4</v>
      </c>
      <c r="E40" s="31">
        <v>0.60000000000000142</v>
      </c>
    </row>
    <row r="41" spans="1:5" x14ac:dyDescent="0.2">
      <c r="A41" s="31" t="s">
        <v>157</v>
      </c>
      <c r="B41" s="35">
        <v>45595</v>
      </c>
      <c r="C41" s="31">
        <v>37.9</v>
      </c>
      <c r="D41" s="31">
        <v>36.200000000000003</v>
      </c>
      <c r="E41" s="31">
        <v>1.6999999999999957</v>
      </c>
    </row>
    <row r="42" spans="1:5" x14ac:dyDescent="0.2">
      <c r="A42" s="34" t="s">
        <v>64</v>
      </c>
      <c r="B42" s="36" t="s">
        <v>65</v>
      </c>
      <c r="C42" s="31">
        <v>36.6</v>
      </c>
      <c r="D42" s="31">
        <v>37.6</v>
      </c>
      <c r="E42" s="31">
        <v>1</v>
      </c>
    </row>
    <row r="43" spans="1:5" x14ac:dyDescent="0.2">
      <c r="A43" s="34" t="s">
        <v>66</v>
      </c>
      <c r="B43" s="36" t="s">
        <v>67</v>
      </c>
      <c r="C43" s="31">
        <v>37</v>
      </c>
      <c r="D43" s="31">
        <v>35.6</v>
      </c>
      <c r="E43" s="31">
        <v>1.3999999999999986</v>
      </c>
    </row>
    <row r="44" spans="1:5" x14ac:dyDescent="0.2">
      <c r="A44" s="34" t="s">
        <v>68</v>
      </c>
      <c r="B44" s="37">
        <v>45609</v>
      </c>
      <c r="C44" s="31">
        <v>38.200000000000003</v>
      </c>
      <c r="D44" s="31">
        <v>37</v>
      </c>
      <c r="E44" s="31">
        <v>1.2000000000000028</v>
      </c>
    </row>
    <row r="45" spans="1:5" x14ac:dyDescent="0.2">
      <c r="A45" s="34" t="s">
        <v>70</v>
      </c>
      <c r="B45" s="36" t="s">
        <v>71</v>
      </c>
      <c r="C45" s="31">
        <v>39.9</v>
      </c>
      <c r="D45" s="31">
        <v>38.700000000000003</v>
      </c>
      <c r="E45" s="31">
        <v>1.1999999999999957</v>
      </c>
    </row>
    <row r="46" spans="1:5" x14ac:dyDescent="0.2">
      <c r="A46" s="34" t="s">
        <v>72</v>
      </c>
      <c r="B46" s="36" t="s">
        <v>73</v>
      </c>
      <c r="C46" s="31">
        <v>37.700000000000003</v>
      </c>
      <c r="D46" s="31">
        <v>38.4</v>
      </c>
      <c r="E46" s="31">
        <v>0.69999999999999574</v>
      </c>
    </row>
    <row r="47" spans="1:5" x14ac:dyDescent="0.2">
      <c r="A47" s="31" t="s">
        <v>158</v>
      </c>
      <c r="B47" s="35">
        <v>45623</v>
      </c>
      <c r="C47" s="31">
        <v>38.4</v>
      </c>
      <c r="D47" s="31">
        <v>39.1</v>
      </c>
      <c r="E47" s="31">
        <v>0.70000000000000284</v>
      </c>
    </row>
    <row r="48" spans="1:5" x14ac:dyDescent="0.2">
      <c r="A48" s="34" t="s">
        <v>74</v>
      </c>
      <c r="B48" s="36" t="s">
        <v>75</v>
      </c>
      <c r="C48" s="31">
        <v>38.299999999999997</v>
      </c>
      <c r="D48" s="31">
        <v>39.299999999999997</v>
      </c>
      <c r="E48" s="31">
        <v>1</v>
      </c>
    </row>
    <row r="49" spans="1:5" x14ac:dyDescent="0.2">
      <c r="A49" s="34" t="s">
        <v>76</v>
      </c>
      <c r="B49" s="36" t="s">
        <v>77</v>
      </c>
      <c r="C49" s="31">
        <v>37.6</v>
      </c>
      <c r="D49" s="31">
        <v>37.299999999999997</v>
      </c>
      <c r="E49" s="31">
        <v>0.30000000000000426</v>
      </c>
    </row>
    <row r="50" spans="1:5" x14ac:dyDescent="0.2">
      <c r="A50" s="34" t="s">
        <v>78</v>
      </c>
      <c r="B50" s="36" t="s">
        <v>79</v>
      </c>
      <c r="C50" s="31">
        <v>37.4</v>
      </c>
      <c r="D50" s="31">
        <v>38.1</v>
      </c>
      <c r="E50" s="31">
        <v>0.70000000000000284</v>
      </c>
    </row>
    <row r="51" spans="1:5" x14ac:dyDescent="0.2">
      <c r="A51" s="34" t="s">
        <v>80</v>
      </c>
      <c r="B51" s="37">
        <v>45637</v>
      </c>
      <c r="C51" s="31">
        <v>37.6</v>
      </c>
      <c r="D51" s="31">
        <v>39.299999999999997</v>
      </c>
      <c r="E51" s="31">
        <v>1.6999999999999957</v>
      </c>
    </row>
    <row r="52" spans="1:5" x14ac:dyDescent="0.2">
      <c r="A52" s="34" t="s">
        <v>81</v>
      </c>
      <c r="B52" s="36" t="s">
        <v>82</v>
      </c>
      <c r="C52" s="31">
        <v>38.299999999999997</v>
      </c>
      <c r="D52" s="31">
        <v>38.5</v>
      </c>
      <c r="E52" s="31">
        <v>0.20000000000000284</v>
      </c>
    </row>
    <row r="53" spans="1:5" x14ac:dyDescent="0.2">
      <c r="A53" s="34" t="s">
        <v>85</v>
      </c>
      <c r="B53" s="36" t="s">
        <v>86</v>
      </c>
      <c r="C53" s="31">
        <v>38.799999999999997</v>
      </c>
      <c r="D53" s="31">
        <v>36.700000000000003</v>
      </c>
      <c r="E53" s="31">
        <v>2.0999999999999943</v>
      </c>
    </row>
    <row r="54" spans="1:5" x14ac:dyDescent="0.2">
      <c r="A54" s="31" t="s">
        <v>159</v>
      </c>
      <c r="B54" s="35">
        <v>45651</v>
      </c>
      <c r="C54" s="31">
        <v>38.1</v>
      </c>
      <c r="D54" s="31">
        <v>39.4</v>
      </c>
      <c r="E54" s="31">
        <v>1.2999999999999972</v>
      </c>
    </row>
    <row r="55" spans="1:5" x14ac:dyDescent="0.2">
      <c r="A55" s="34" t="s">
        <v>87</v>
      </c>
      <c r="B55" s="36" t="s">
        <v>88</v>
      </c>
      <c r="C55" s="31">
        <v>37.4</v>
      </c>
      <c r="D55" s="31">
        <v>37.200000000000003</v>
      </c>
      <c r="E55" s="31">
        <v>0.19999999999999574</v>
      </c>
    </row>
    <row r="56" spans="1:5" x14ac:dyDescent="0.2">
      <c r="A56" s="34" t="s">
        <v>91</v>
      </c>
      <c r="B56" s="36" t="s">
        <v>92</v>
      </c>
      <c r="C56" s="31">
        <v>34.9</v>
      </c>
      <c r="D56" s="31">
        <v>34.700000000000003</v>
      </c>
      <c r="E56" s="31">
        <v>0.19999999999999574</v>
      </c>
    </row>
    <row r="57" spans="1:5" x14ac:dyDescent="0.2">
      <c r="A57" s="34" t="s">
        <v>93</v>
      </c>
      <c r="B57" s="37">
        <v>45665</v>
      </c>
      <c r="C57" s="31">
        <v>37.4</v>
      </c>
      <c r="D57" s="31">
        <v>37.4</v>
      </c>
      <c r="E57" s="31">
        <v>0</v>
      </c>
    </row>
    <row r="58" spans="1:5" x14ac:dyDescent="0.2">
      <c r="A58" s="34" t="s">
        <v>94</v>
      </c>
      <c r="B58" s="37">
        <v>45669</v>
      </c>
      <c r="C58" s="31">
        <v>40.5</v>
      </c>
      <c r="D58" s="31">
        <v>40.1</v>
      </c>
      <c r="E58" s="31">
        <v>0.39999999999999858</v>
      </c>
    </row>
    <row r="59" spans="1:5" x14ac:dyDescent="0.2">
      <c r="A59" s="34" t="s">
        <v>95</v>
      </c>
      <c r="B59" s="36" t="s">
        <v>96</v>
      </c>
      <c r="C59" s="31">
        <v>37.1</v>
      </c>
      <c r="D59" s="31">
        <v>35.700000000000003</v>
      </c>
      <c r="E59" s="31">
        <v>1.3999999999999986</v>
      </c>
    </row>
    <row r="60" spans="1:5" x14ac:dyDescent="0.2">
      <c r="A60" s="34" t="s">
        <v>97</v>
      </c>
      <c r="B60" s="37">
        <v>45676</v>
      </c>
      <c r="C60" s="31">
        <v>39.6</v>
      </c>
      <c r="D60" s="31">
        <v>37.5</v>
      </c>
      <c r="E60" s="31">
        <v>2.1000000000000014</v>
      </c>
    </row>
    <row r="61" spans="1:5" x14ac:dyDescent="0.2">
      <c r="A61" s="34" t="s">
        <v>98</v>
      </c>
      <c r="B61" s="37">
        <v>45679</v>
      </c>
      <c r="C61" s="31">
        <v>38.5</v>
      </c>
      <c r="D61" s="31">
        <v>37</v>
      </c>
      <c r="E61" s="31">
        <v>1.5</v>
      </c>
    </row>
    <row r="62" spans="1:5" x14ac:dyDescent="0.2">
      <c r="A62" s="34" t="s">
        <v>99</v>
      </c>
      <c r="B62" s="36" t="s">
        <v>100</v>
      </c>
      <c r="C62" s="31">
        <v>40</v>
      </c>
      <c r="D62" s="31">
        <v>37.299999999999997</v>
      </c>
      <c r="E62" s="31">
        <v>2.7000000000000028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5"/>
  <sheetViews>
    <sheetView workbookViewId="0">
      <selection activeCell="E1" sqref="E1"/>
    </sheetView>
  </sheetViews>
  <sheetFormatPr baseColWidth="10" defaultRowHeight="15" x14ac:dyDescent="0.2"/>
  <cols>
    <col min="1" max="1" width="20.6640625" customWidth="1"/>
    <col min="2" max="2" width="11.33203125" style="1" customWidth="1"/>
  </cols>
  <sheetData>
    <row r="1" spans="1:5" x14ac:dyDescent="0.2">
      <c r="A1" s="3" t="s">
        <v>103</v>
      </c>
      <c r="B1" s="4" t="s">
        <v>1</v>
      </c>
      <c r="C1" s="3" t="s">
        <v>177</v>
      </c>
      <c r="D1" s="3" t="s">
        <v>178</v>
      </c>
      <c r="E1" s="3" t="s">
        <v>163</v>
      </c>
    </row>
    <row r="2" spans="1:5" x14ac:dyDescent="0.2">
      <c r="A2" s="34" t="s">
        <v>142</v>
      </c>
      <c r="B2" s="35">
        <v>45319</v>
      </c>
      <c r="C2" s="31">
        <v>40.5</v>
      </c>
      <c r="D2" s="31">
        <v>39.299999999999997</v>
      </c>
      <c r="E2" s="31">
        <v>1.2000000000000028</v>
      </c>
    </row>
    <row r="3" spans="1:5" x14ac:dyDescent="0.2">
      <c r="A3" s="31" t="s">
        <v>141</v>
      </c>
      <c r="B3" s="35">
        <v>45322</v>
      </c>
      <c r="C3" s="31">
        <v>38.200000000000003</v>
      </c>
      <c r="D3" s="31">
        <v>39.200000000000003</v>
      </c>
      <c r="E3" s="31">
        <v>1</v>
      </c>
    </row>
    <row r="4" spans="1:5" x14ac:dyDescent="0.2">
      <c r="A4" s="34" t="s">
        <v>140</v>
      </c>
      <c r="B4" s="35">
        <v>45326</v>
      </c>
      <c r="C4" s="31">
        <v>39</v>
      </c>
      <c r="D4" s="31">
        <v>40.6</v>
      </c>
      <c r="E4" s="31">
        <v>1.6000000000000014</v>
      </c>
    </row>
    <row r="5" spans="1:5" x14ac:dyDescent="0.2">
      <c r="A5" s="34" t="s">
        <v>137</v>
      </c>
      <c r="B5" s="35">
        <v>45340</v>
      </c>
      <c r="C5" s="31">
        <v>40.299999999999997</v>
      </c>
      <c r="D5" s="31">
        <v>41.2</v>
      </c>
      <c r="E5" s="31">
        <v>0.90000000000000568</v>
      </c>
    </row>
    <row r="6" spans="1:5" x14ac:dyDescent="0.2">
      <c r="A6" s="31" t="s">
        <v>134</v>
      </c>
      <c r="B6" s="35">
        <v>45350</v>
      </c>
      <c r="C6" s="31">
        <v>39.1</v>
      </c>
      <c r="D6" s="31">
        <v>39.4</v>
      </c>
      <c r="E6" s="31">
        <v>0.29999999999999716</v>
      </c>
    </row>
    <row r="7" spans="1:5" x14ac:dyDescent="0.2">
      <c r="A7" s="34" t="s">
        <v>9</v>
      </c>
      <c r="B7" s="35">
        <v>45375</v>
      </c>
      <c r="C7" s="31">
        <v>39.299999999999997</v>
      </c>
      <c r="D7" s="31">
        <v>39.1</v>
      </c>
      <c r="E7" s="31">
        <v>0.19999999999999574</v>
      </c>
    </row>
    <row r="8" spans="1:5" x14ac:dyDescent="0.2">
      <c r="A8" s="34" t="s">
        <v>12</v>
      </c>
      <c r="B8" s="35">
        <v>45385</v>
      </c>
      <c r="C8" s="31">
        <v>38.9</v>
      </c>
      <c r="D8" s="31">
        <v>40.5</v>
      </c>
      <c r="E8" s="31">
        <v>1.6000000000000014</v>
      </c>
    </row>
    <row r="9" spans="1:5" x14ac:dyDescent="0.2">
      <c r="A9" s="34" t="s">
        <v>18</v>
      </c>
      <c r="B9" s="35">
        <v>45410</v>
      </c>
      <c r="C9" s="31">
        <v>39.6</v>
      </c>
      <c r="D9" s="31">
        <v>41.7</v>
      </c>
      <c r="E9" s="31">
        <v>2.1000000000000014</v>
      </c>
    </row>
    <row r="10" spans="1:5" x14ac:dyDescent="0.2">
      <c r="A10" s="31" t="s">
        <v>155</v>
      </c>
      <c r="B10" s="35">
        <v>45497</v>
      </c>
      <c r="C10" s="31">
        <v>40.200000000000003</v>
      </c>
      <c r="D10" s="31">
        <v>38.4</v>
      </c>
      <c r="E10" s="31">
        <v>1.8000000000000043</v>
      </c>
    </row>
    <row r="11" spans="1:5" x14ac:dyDescent="0.2">
      <c r="A11" s="34" t="s">
        <v>33</v>
      </c>
      <c r="B11" s="37">
        <v>45511</v>
      </c>
      <c r="C11" s="31">
        <v>41.6</v>
      </c>
      <c r="D11" s="31">
        <v>41.8</v>
      </c>
      <c r="E11" s="31">
        <v>0.19999999999999574</v>
      </c>
    </row>
    <row r="12" spans="1:5" x14ac:dyDescent="0.2">
      <c r="A12" s="34" t="s">
        <v>42</v>
      </c>
      <c r="B12" s="36" t="s">
        <v>43</v>
      </c>
      <c r="C12" s="31">
        <v>39.6</v>
      </c>
      <c r="D12" s="31">
        <v>39.1</v>
      </c>
      <c r="E12" s="31">
        <v>0.5</v>
      </c>
    </row>
    <row r="13" spans="1:5" x14ac:dyDescent="0.2">
      <c r="A13" s="34" t="s">
        <v>47</v>
      </c>
      <c r="B13" s="37">
        <v>45546</v>
      </c>
      <c r="C13" s="31">
        <v>39.700000000000003</v>
      </c>
      <c r="D13" s="31">
        <v>39.200000000000003</v>
      </c>
      <c r="E13" s="31">
        <v>0.5</v>
      </c>
    </row>
    <row r="14" spans="1:5" x14ac:dyDescent="0.2">
      <c r="A14" s="34" t="s">
        <v>52</v>
      </c>
      <c r="B14" s="37">
        <v>45564</v>
      </c>
      <c r="C14" s="31">
        <v>41.3</v>
      </c>
      <c r="D14" s="31">
        <v>39.9</v>
      </c>
      <c r="E14" s="31">
        <v>1.3999999999999986</v>
      </c>
    </row>
    <row r="15" spans="1:5" x14ac:dyDescent="0.2">
      <c r="A15" s="34" t="s">
        <v>57</v>
      </c>
      <c r="B15" s="36" t="s">
        <v>58</v>
      </c>
      <c r="C15" s="31">
        <v>38.799999999999997</v>
      </c>
      <c r="D15" s="31">
        <v>38.200000000000003</v>
      </c>
      <c r="E15" s="31">
        <v>0.59999999999999432</v>
      </c>
    </row>
    <row r="16" spans="1:5" x14ac:dyDescent="0.2">
      <c r="A16" s="34" t="s">
        <v>59</v>
      </c>
      <c r="B16" s="37">
        <v>45585</v>
      </c>
      <c r="C16" s="31">
        <v>41.8</v>
      </c>
      <c r="D16" s="31">
        <v>40.5</v>
      </c>
      <c r="E16" s="31">
        <v>1.2999999999999972</v>
      </c>
    </row>
    <row r="17" spans="1:5" x14ac:dyDescent="0.2">
      <c r="A17" s="34" t="s">
        <v>61</v>
      </c>
      <c r="B17" s="37">
        <v>45592</v>
      </c>
      <c r="C17" s="31">
        <v>39.200000000000003</v>
      </c>
      <c r="D17" s="31">
        <v>41.2</v>
      </c>
      <c r="E17" s="31">
        <v>2</v>
      </c>
    </row>
    <row r="18" spans="1:5" x14ac:dyDescent="0.2">
      <c r="A18" s="31" t="s">
        <v>157</v>
      </c>
      <c r="B18" s="35">
        <v>45595</v>
      </c>
      <c r="C18" s="31">
        <v>40.9</v>
      </c>
      <c r="D18" s="31">
        <v>39.1</v>
      </c>
      <c r="E18" s="31">
        <v>1.7999999999999972</v>
      </c>
    </row>
    <row r="19" spans="1:5" x14ac:dyDescent="0.2">
      <c r="A19" s="34" t="s">
        <v>64</v>
      </c>
      <c r="B19" s="36" t="s">
        <v>65</v>
      </c>
      <c r="C19" s="31">
        <v>39.6</v>
      </c>
      <c r="D19" s="31">
        <v>39.700000000000003</v>
      </c>
      <c r="E19" s="31">
        <v>0.10000000000000142</v>
      </c>
    </row>
    <row r="20" spans="1:5" x14ac:dyDescent="0.2">
      <c r="A20" s="34" t="s">
        <v>66</v>
      </c>
      <c r="B20" s="36" t="s">
        <v>67</v>
      </c>
      <c r="C20" s="31">
        <v>39.799999999999997</v>
      </c>
      <c r="D20" s="31">
        <v>39.1</v>
      </c>
      <c r="E20" s="31">
        <v>0.69999999999999574</v>
      </c>
    </row>
    <row r="21" spans="1:5" x14ac:dyDescent="0.2">
      <c r="A21" s="34" t="s">
        <v>68</v>
      </c>
      <c r="B21" s="37">
        <v>45609</v>
      </c>
      <c r="C21" s="31">
        <v>41.1</v>
      </c>
      <c r="D21" s="31">
        <v>39.1</v>
      </c>
      <c r="E21" s="31">
        <v>2</v>
      </c>
    </row>
    <row r="22" spans="1:5" x14ac:dyDescent="0.2">
      <c r="A22" s="34" t="s">
        <v>70</v>
      </c>
      <c r="B22" s="36" t="s">
        <v>71</v>
      </c>
      <c r="C22" s="31">
        <v>38.4</v>
      </c>
      <c r="D22" s="31">
        <v>38.9</v>
      </c>
      <c r="E22" s="31">
        <v>0.5</v>
      </c>
    </row>
    <row r="23" spans="1:5" x14ac:dyDescent="0.2">
      <c r="A23" s="34" t="s">
        <v>72</v>
      </c>
      <c r="B23" s="36" t="s">
        <v>73</v>
      </c>
      <c r="C23" s="31">
        <v>38.700000000000003</v>
      </c>
      <c r="D23" s="31">
        <v>39.1</v>
      </c>
      <c r="E23" s="31">
        <v>0.39999999999999858</v>
      </c>
    </row>
    <row r="24" spans="1:5" x14ac:dyDescent="0.2">
      <c r="A24" s="31" t="s">
        <v>158</v>
      </c>
      <c r="B24" s="35">
        <v>45623</v>
      </c>
      <c r="C24" s="31">
        <v>37.700000000000003</v>
      </c>
      <c r="D24" s="31">
        <v>38.6</v>
      </c>
      <c r="E24" s="31">
        <v>0.89999999999999858</v>
      </c>
    </row>
    <row r="25" spans="1:5" x14ac:dyDescent="0.2">
      <c r="A25" s="34" t="s">
        <v>76</v>
      </c>
      <c r="B25" s="36" t="s">
        <v>77</v>
      </c>
      <c r="C25" s="31">
        <v>39</v>
      </c>
      <c r="D25" s="31">
        <v>39.799999999999997</v>
      </c>
      <c r="E25" s="31">
        <v>0.79999999999999716</v>
      </c>
    </row>
    <row r="26" spans="1:5" x14ac:dyDescent="0.2">
      <c r="A26" s="34" t="s">
        <v>78</v>
      </c>
      <c r="B26" s="36" t="s">
        <v>79</v>
      </c>
      <c r="C26" s="31">
        <v>40</v>
      </c>
      <c r="D26" s="31">
        <v>40.700000000000003</v>
      </c>
      <c r="E26" s="31">
        <v>0.70000000000000284</v>
      </c>
    </row>
    <row r="27" spans="1:5" x14ac:dyDescent="0.2">
      <c r="A27" s="34" t="s">
        <v>80</v>
      </c>
      <c r="B27" s="37">
        <v>45637</v>
      </c>
      <c r="C27" s="31">
        <v>39</v>
      </c>
      <c r="D27" s="31">
        <v>40.799999999999997</v>
      </c>
      <c r="E27" s="31">
        <v>1.7999999999999972</v>
      </c>
    </row>
    <row r="28" spans="1:5" x14ac:dyDescent="0.2">
      <c r="A28" s="34" t="s">
        <v>81</v>
      </c>
      <c r="B28" s="36" t="s">
        <v>82</v>
      </c>
      <c r="C28" s="31">
        <v>38.5</v>
      </c>
      <c r="D28" s="31">
        <v>41.6</v>
      </c>
      <c r="E28" s="31">
        <v>3.1000000000000014</v>
      </c>
    </row>
    <row r="29" spans="1:5" x14ac:dyDescent="0.2">
      <c r="A29" s="34" t="s">
        <v>83</v>
      </c>
      <c r="B29" s="36" t="s">
        <v>84</v>
      </c>
      <c r="C29" s="31">
        <v>41.6</v>
      </c>
      <c r="D29" s="31">
        <v>39.200000000000003</v>
      </c>
      <c r="E29" s="31">
        <v>2.3999999999999986</v>
      </c>
    </row>
    <row r="30" spans="1:5" x14ac:dyDescent="0.2">
      <c r="A30" s="34" t="s">
        <v>85</v>
      </c>
      <c r="B30" s="36" t="s">
        <v>86</v>
      </c>
      <c r="C30" s="31">
        <v>39.9</v>
      </c>
      <c r="D30" s="31">
        <v>40.299999999999997</v>
      </c>
      <c r="E30" s="31">
        <v>0.39999999999999858</v>
      </c>
    </row>
    <row r="31" spans="1:5" x14ac:dyDescent="0.2">
      <c r="A31" s="34" t="s">
        <v>87</v>
      </c>
      <c r="B31" s="36" t="s">
        <v>88</v>
      </c>
      <c r="C31" s="31">
        <v>39.4</v>
      </c>
      <c r="D31" s="31">
        <v>39.700000000000003</v>
      </c>
      <c r="E31" s="31">
        <v>0.30000000000000426</v>
      </c>
    </row>
    <row r="32" spans="1:5" x14ac:dyDescent="0.2">
      <c r="A32" s="34" t="s">
        <v>89</v>
      </c>
      <c r="B32" s="36" t="s">
        <v>90</v>
      </c>
      <c r="C32" s="31">
        <v>39.799999999999997</v>
      </c>
      <c r="D32" s="31">
        <v>41.6</v>
      </c>
      <c r="E32" s="31">
        <v>1.8000000000000043</v>
      </c>
    </row>
    <row r="33" spans="1:5" x14ac:dyDescent="0.2">
      <c r="A33" s="34" t="s">
        <v>93</v>
      </c>
      <c r="B33" s="37">
        <v>45665</v>
      </c>
      <c r="C33" s="31">
        <v>41</v>
      </c>
      <c r="D33" s="31">
        <v>39.6</v>
      </c>
      <c r="E33" s="31">
        <v>1.3999999999999986</v>
      </c>
    </row>
    <row r="34" spans="1:5" x14ac:dyDescent="0.2">
      <c r="A34" s="34" t="s">
        <v>95</v>
      </c>
      <c r="B34" s="36" t="s">
        <v>96</v>
      </c>
      <c r="C34" s="31">
        <v>40.6</v>
      </c>
      <c r="D34" s="31">
        <v>41.6</v>
      </c>
      <c r="E34" s="31">
        <v>1</v>
      </c>
    </row>
    <row r="35" spans="1:5" x14ac:dyDescent="0.2">
      <c r="A35" s="34" t="s">
        <v>99</v>
      </c>
      <c r="B35" s="36" t="s">
        <v>100</v>
      </c>
      <c r="C35" s="31">
        <v>39.5</v>
      </c>
      <c r="D35" s="31">
        <v>40.799999999999997</v>
      </c>
      <c r="E35" s="31">
        <v>1.2999999999999972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6"/>
  <sheetViews>
    <sheetView topLeftCell="A15" workbookViewId="0">
      <selection activeCell="E1" sqref="E1"/>
    </sheetView>
  </sheetViews>
  <sheetFormatPr baseColWidth="10" defaultRowHeight="15" x14ac:dyDescent="0.2"/>
  <cols>
    <col min="1" max="1" width="20.6640625" customWidth="1"/>
    <col min="2" max="2" width="11.33203125" style="1" customWidth="1"/>
  </cols>
  <sheetData>
    <row r="1" spans="1:5" x14ac:dyDescent="0.2">
      <c r="A1" s="3" t="s">
        <v>103</v>
      </c>
      <c r="B1" s="4" t="s">
        <v>1</v>
      </c>
      <c r="C1" s="3" t="s">
        <v>191</v>
      </c>
      <c r="D1" s="3" t="s">
        <v>192</v>
      </c>
      <c r="E1" s="3" t="s">
        <v>163</v>
      </c>
    </row>
    <row r="2" spans="1:5" x14ac:dyDescent="0.2">
      <c r="A2" s="34" t="s">
        <v>143</v>
      </c>
      <c r="B2" s="35">
        <v>45315</v>
      </c>
      <c r="C2" s="29">
        <v>38.700000000000003</v>
      </c>
      <c r="D2" s="29">
        <v>39</v>
      </c>
      <c r="E2" s="29">
        <v>0.29999999999999716</v>
      </c>
    </row>
    <row r="3" spans="1:5" x14ac:dyDescent="0.2">
      <c r="A3" s="31" t="s">
        <v>141</v>
      </c>
      <c r="B3" s="35">
        <v>45322</v>
      </c>
      <c r="C3" s="29">
        <v>39.6</v>
      </c>
      <c r="D3" s="29">
        <v>35.799999999999997</v>
      </c>
      <c r="E3" s="41">
        <v>3.8000000000000043</v>
      </c>
    </row>
    <row r="4" spans="1:5" x14ac:dyDescent="0.2">
      <c r="A4" s="34" t="s">
        <v>6</v>
      </c>
      <c r="B4" s="35">
        <v>45357</v>
      </c>
      <c r="C4" s="29">
        <v>39</v>
      </c>
      <c r="D4" s="29">
        <v>40.200000000000003</v>
      </c>
      <c r="E4" s="29">
        <v>1.2000000000000028</v>
      </c>
    </row>
    <row r="5" spans="1:5" x14ac:dyDescent="0.2">
      <c r="A5" s="34" t="s">
        <v>8</v>
      </c>
      <c r="B5" s="35">
        <v>45368</v>
      </c>
      <c r="C5" s="29">
        <v>40.4</v>
      </c>
      <c r="D5" s="29">
        <v>39.6</v>
      </c>
      <c r="E5" s="29">
        <v>0.79999999999999716</v>
      </c>
    </row>
    <row r="6" spans="1:5" x14ac:dyDescent="0.2">
      <c r="A6" s="34" t="s">
        <v>9</v>
      </c>
      <c r="B6" s="35">
        <v>45375</v>
      </c>
      <c r="C6" s="29">
        <v>38.5</v>
      </c>
      <c r="D6" s="29">
        <v>38.200000000000003</v>
      </c>
      <c r="E6" s="29">
        <v>0.29999999999999716</v>
      </c>
    </row>
    <row r="7" spans="1:5" x14ac:dyDescent="0.2">
      <c r="A7" s="34" t="s">
        <v>15</v>
      </c>
      <c r="B7" s="35">
        <v>45396</v>
      </c>
      <c r="C7" s="29">
        <v>39.200000000000003</v>
      </c>
      <c r="D7" s="29">
        <v>38</v>
      </c>
      <c r="E7" s="29">
        <v>1.2000000000000028</v>
      </c>
    </row>
    <row r="8" spans="1:5" x14ac:dyDescent="0.2">
      <c r="A8" s="34" t="s">
        <v>16</v>
      </c>
      <c r="B8" s="35">
        <v>45399</v>
      </c>
      <c r="C8" s="29">
        <v>40.5</v>
      </c>
      <c r="D8" s="29">
        <v>40.4</v>
      </c>
      <c r="E8" s="29">
        <v>0.10000000000000142</v>
      </c>
    </row>
    <row r="9" spans="1:5" x14ac:dyDescent="0.2">
      <c r="A9" s="34" t="s">
        <v>17</v>
      </c>
      <c r="B9" s="35">
        <v>45403</v>
      </c>
      <c r="C9" s="29">
        <v>39.5</v>
      </c>
      <c r="D9" s="29">
        <v>39.5</v>
      </c>
      <c r="E9" s="29">
        <v>0</v>
      </c>
    </row>
    <row r="10" spans="1:5" x14ac:dyDescent="0.2">
      <c r="A10" s="34" t="s">
        <v>20</v>
      </c>
      <c r="B10" s="35">
        <v>45417</v>
      </c>
      <c r="C10" s="29">
        <v>38.6</v>
      </c>
      <c r="D10" s="29">
        <v>38.299999999999997</v>
      </c>
      <c r="E10" s="29">
        <v>0.30000000000000426</v>
      </c>
    </row>
    <row r="11" spans="1:5" x14ac:dyDescent="0.2">
      <c r="A11" s="31" t="s">
        <v>147</v>
      </c>
      <c r="B11" s="35">
        <v>45434</v>
      </c>
      <c r="C11" s="29">
        <v>27.4</v>
      </c>
      <c r="D11" s="29">
        <v>40.5</v>
      </c>
      <c r="E11" s="41">
        <v>13.100000000000001</v>
      </c>
    </row>
    <row r="12" spans="1:5" x14ac:dyDescent="0.2">
      <c r="A12" s="34" t="s">
        <v>21</v>
      </c>
      <c r="B12" s="35">
        <v>45462</v>
      </c>
      <c r="C12" s="29">
        <v>39.700000000000003</v>
      </c>
      <c r="D12" s="29">
        <v>41.3</v>
      </c>
      <c r="E12" s="29">
        <v>1.5999999999999943</v>
      </c>
    </row>
    <row r="13" spans="1:5" x14ac:dyDescent="0.2">
      <c r="A13" s="34" t="s">
        <v>28</v>
      </c>
      <c r="B13" s="37">
        <v>45484</v>
      </c>
      <c r="C13" s="29">
        <v>40.4</v>
      </c>
      <c r="D13" s="29">
        <v>39</v>
      </c>
      <c r="E13" s="29">
        <v>1.3999999999999986</v>
      </c>
    </row>
    <row r="14" spans="1:5" x14ac:dyDescent="0.2">
      <c r="A14" s="34" t="s">
        <v>31</v>
      </c>
      <c r="B14" s="37">
        <v>45501</v>
      </c>
      <c r="C14" s="29">
        <v>38.6</v>
      </c>
      <c r="D14" s="29">
        <v>39.4</v>
      </c>
      <c r="E14" s="29">
        <v>0.79999999999999716</v>
      </c>
    </row>
    <row r="15" spans="1:5" x14ac:dyDescent="0.2">
      <c r="A15" s="34" t="s">
        <v>33</v>
      </c>
      <c r="B15" s="37">
        <v>45511</v>
      </c>
      <c r="C15" s="29">
        <v>39.6</v>
      </c>
      <c r="D15" s="29">
        <v>40.4</v>
      </c>
      <c r="E15" s="29">
        <v>0.79999999999999716</v>
      </c>
    </row>
    <row r="16" spans="1:5" x14ac:dyDescent="0.2">
      <c r="A16" s="34" t="s">
        <v>39</v>
      </c>
      <c r="B16" s="37">
        <v>45525</v>
      </c>
      <c r="C16" s="29">
        <v>38.9</v>
      </c>
      <c r="D16" s="29">
        <v>40.5</v>
      </c>
      <c r="E16" s="29">
        <v>1.6000000000000014</v>
      </c>
    </row>
    <row r="17" spans="1:5" x14ac:dyDescent="0.2">
      <c r="A17" s="34" t="s">
        <v>47</v>
      </c>
      <c r="B17" s="37">
        <v>45546</v>
      </c>
      <c r="C17" s="29">
        <v>41</v>
      </c>
      <c r="D17" s="29">
        <v>40.6</v>
      </c>
      <c r="E17" s="29">
        <v>0.39999999999999858</v>
      </c>
    </row>
    <row r="18" spans="1:5" x14ac:dyDescent="0.2">
      <c r="A18" s="34" t="s">
        <v>48</v>
      </c>
      <c r="B18" s="37">
        <v>45550</v>
      </c>
      <c r="C18" s="29">
        <v>39.700000000000003</v>
      </c>
      <c r="D18" s="29">
        <v>39.1</v>
      </c>
      <c r="E18" s="29">
        <v>0.60000000000000142</v>
      </c>
    </row>
    <row r="19" spans="1:5" x14ac:dyDescent="0.2">
      <c r="A19" s="34" t="s">
        <v>49</v>
      </c>
      <c r="B19" s="36" t="s">
        <v>50</v>
      </c>
      <c r="C19" s="29">
        <v>39.5</v>
      </c>
      <c r="D19" s="29">
        <v>41.7</v>
      </c>
      <c r="E19" s="29">
        <v>2.2000000000000028</v>
      </c>
    </row>
    <row r="20" spans="1:5" x14ac:dyDescent="0.2">
      <c r="A20" s="34" t="s">
        <v>51</v>
      </c>
      <c r="B20" s="37">
        <v>45557</v>
      </c>
      <c r="C20" s="29">
        <v>38.4</v>
      </c>
      <c r="D20" s="29">
        <v>40</v>
      </c>
      <c r="E20" s="29">
        <v>1.6000000000000014</v>
      </c>
    </row>
    <row r="21" spans="1:5" x14ac:dyDescent="0.2">
      <c r="A21" s="31" t="s">
        <v>156</v>
      </c>
      <c r="B21" s="35">
        <v>45560</v>
      </c>
      <c r="C21" s="29">
        <v>39.4</v>
      </c>
      <c r="D21" s="29">
        <v>40.799999999999997</v>
      </c>
      <c r="E21" s="29">
        <v>1.3999999999999986</v>
      </c>
    </row>
    <row r="22" spans="1:5" x14ac:dyDescent="0.2">
      <c r="A22" s="34" t="s">
        <v>52</v>
      </c>
      <c r="B22" s="37">
        <v>45564</v>
      </c>
      <c r="C22" s="29">
        <v>38.9</v>
      </c>
      <c r="D22" s="29">
        <v>40.9</v>
      </c>
      <c r="E22" s="29">
        <v>2</v>
      </c>
    </row>
    <row r="23" spans="1:5" x14ac:dyDescent="0.2">
      <c r="A23" s="34" t="s">
        <v>53</v>
      </c>
      <c r="B23" s="37">
        <v>45567</v>
      </c>
      <c r="C23" s="29">
        <v>39.9</v>
      </c>
      <c r="D23" s="29">
        <v>40.4</v>
      </c>
      <c r="E23" s="29">
        <v>0.5</v>
      </c>
    </row>
    <row r="24" spans="1:5" x14ac:dyDescent="0.2">
      <c r="A24" s="34" t="s">
        <v>54</v>
      </c>
      <c r="B24" s="37">
        <v>45571</v>
      </c>
      <c r="C24" s="29">
        <v>39.1</v>
      </c>
      <c r="D24" s="29">
        <v>39.700000000000003</v>
      </c>
      <c r="E24" s="29">
        <v>0.60000000000000142</v>
      </c>
    </row>
    <row r="25" spans="1:5" x14ac:dyDescent="0.2">
      <c r="A25" s="34" t="s">
        <v>57</v>
      </c>
      <c r="B25" s="36" t="s">
        <v>58</v>
      </c>
      <c r="C25" s="29">
        <v>39</v>
      </c>
      <c r="D25" s="29">
        <v>40</v>
      </c>
      <c r="E25" s="29">
        <v>1</v>
      </c>
    </row>
    <row r="26" spans="1:5" x14ac:dyDescent="0.2">
      <c r="A26" s="34" t="s">
        <v>61</v>
      </c>
      <c r="B26" s="37">
        <v>45592</v>
      </c>
      <c r="C26" s="29">
        <v>40.6</v>
      </c>
      <c r="D26" s="29">
        <v>39.9</v>
      </c>
      <c r="E26" s="29">
        <v>0.70000000000000284</v>
      </c>
    </row>
    <row r="27" spans="1:5" x14ac:dyDescent="0.2">
      <c r="A27" s="34" t="s">
        <v>64</v>
      </c>
      <c r="B27" s="36" t="s">
        <v>65</v>
      </c>
      <c r="C27" s="29">
        <v>38.200000000000003</v>
      </c>
      <c r="D27" s="29">
        <v>37.799999999999997</v>
      </c>
      <c r="E27" s="29">
        <v>0.40000000000000568</v>
      </c>
    </row>
    <row r="28" spans="1:5" x14ac:dyDescent="0.2">
      <c r="A28" s="34" t="s">
        <v>66</v>
      </c>
      <c r="B28" s="36" t="s">
        <v>67</v>
      </c>
      <c r="C28" s="29">
        <v>37.1</v>
      </c>
      <c r="D28" s="29">
        <v>37.5</v>
      </c>
      <c r="E28" s="29">
        <v>0.39999999999999858</v>
      </c>
    </row>
    <row r="29" spans="1:5" x14ac:dyDescent="0.2">
      <c r="A29" s="34" t="s">
        <v>68</v>
      </c>
      <c r="B29" s="37">
        <v>45609</v>
      </c>
      <c r="C29" s="29">
        <v>40.4</v>
      </c>
      <c r="D29" s="29">
        <v>38</v>
      </c>
      <c r="E29" s="29">
        <v>2.3999999999999986</v>
      </c>
    </row>
    <row r="30" spans="1:5" x14ac:dyDescent="0.2">
      <c r="A30" s="34" t="s">
        <v>72</v>
      </c>
      <c r="B30" s="36" t="s">
        <v>73</v>
      </c>
      <c r="C30" s="29">
        <v>38.700000000000003</v>
      </c>
      <c r="D30" s="29">
        <v>39.1</v>
      </c>
      <c r="E30" s="29">
        <v>0.39999999999999858</v>
      </c>
    </row>
    <row r="31" spans="1:5" x14ac:dyDescent="0.2">
      <c r="A31" s="34" t="s">
        <v>76</v>
      </c>
      <c r="B31" s="36" t="s">
        <v>77</v>
      </c>
      <c r="C31" s="29">
        <v>37.5</v>
      </c>
      <c r="D31" s="29">
        <v>39.1</v>
      </c>
      <c r="E31" s="29">
        <v>1.6000000000000014</v>
      </c>
    </row>
    <row r="32" spans="1:5" x14ac:dyDescent="0.2">
      <c r="A32" s="34" t="s">
        <v>78</v>
      </c>
      <c r="B32" s="36" t="s">
        <v>79</v>
      </c>
      <c r="C32" s="29">
        <v>40.299999999999997</v>
      </c>
      <c r="D32" s="29">
        <v>38.9</v>
      </c>
      <c r="E32" s="29">
        <v>1.3999999999999986</v>
      </c>
    </row>
    <row r="33" spans="1:5" x14ac:dyDescent="0.2">
      <c r="A33" s="34" t="s">
        <v>80</v>
      </c>
      <c r="B33" s="37">
        <v>45637</v>
      </c>
      <c r="C33" s="29">
        <v>39.700000000000003</v>
      </c>
      <c r="D33" s="29">
        <v>41.6</v>
      </c>
      <c r="E33" s="29">
        <v>1.8999999999999986</v>
      </c>
    </row>
    <row r="34" spans="1:5" x14ac:dyDescent="0.2">
      <c r="A34" s="34" t="s">
        <v>87</v>
      </c>
      <c r="B34" s="36" t="s">
        <v>88</v>
      </c>
      <c r="C34" s="29">
        <v>39.299999999999997</v>
      </c>
      <c r="D34" s="29">
        <v>40.799999999999997</v>
      </c>
      <c r="E34" s="29">
        <v>1.5</v>
      </c>
    </row>
    <row r="35" spans="1:5" x14ac:dyDescent="0.2">
      <c r="A35" s="34" t="s">
        <v>95</v>
      </c>
      <c r="B35" s="36" t="s">
        <v>96</v>
      </c>
      <c r="C35" s="29">
        <v>40.700000000000003</v>
      </c>
      <c r="D35" s="29">
        <v>38.9</v>
      </c>
      <c r="E35" s="29">
        <v>1.8000000000000043</v>
      </c>
    </row>
    <row r="36" spans="1:5" x14ac:dyDescent="0.2">
      <c r="A36" s="40" t="s">
        <v>160</v>
      </c>
      <c r="B36" s="35">
        <v>45686</v>
      </c>
      <c r="C36" s="29">
        <v>38.6</v>
      </c>
      <c r="D36" s="29">
        <v>39.6</v>
      </c>
      <c r="E36" s="2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4"/>
  <sheetViews>
    <sheetView topLeftCell="A3" workbookViewId="0">
      <selection activeCell="J14" sqref="J14"/>
    </sheetView>
  </sheetViews>
  <sheetFormatPr baseColWidth="10" defaultRowHeight="15" x14ac:dyDescent="0.2"/>
  <sheetData>
    <row r="1" spans="1:5" x14ac:dyDescent="0.2">
      <c r="A1" s="3" t="s">
        <v>103</v>
      </c>
      <c r="B1" s="4" t="s">
        <v>1</v>
      </c>
      <c r="C1" s="3" t="s">
        <v>193</v>
      </c>
      <c r="D1" s="3" t="s">
        <v>194</v>
      </c>
      <c r="E1" s="3" t="s">
        <v>163</v>
      </c>
    </row>
    <row r="2" spans="1:5" x14ac:dyDescent="0.2">
      <c r="A2" s="34" t="s">
        <v>143</v>
      </c>
      <c r="B2" s="35">
        <v>45315</v>
      </c>
      <c r="C2" s="31">
        <v>39.4</v>
      </c>
      <c r="D2" s="31">
        <v>40.4</v>
      </c>
      <c r="E2" s="31">
        <v>1</v>
      </c>
    </row>
    <row r="3" spans="1:5" x14ac:dyDescent="0.2">
      <c r="A3" s="34" t="s">
        <v>137</v>
      </c>
      <c r="B3" s="35">
        <v>45340</v>
      </c>
      <c r="C3" s="31">
        <v>39.6</v>
      </c>
      <c r="D3" s="31">
        <v>39.4</v>
      </c>
      <c r="E3" s="31">
        <v>0.20000000000000284</v>
      </c>
    </row>
    <row r="4" spans="1:5" x14ac:dyDescent="0.2">
      <c r="A4" s="34" t="s">
        <v>15</v>
      </c>
      <c r="B4" s="35">
        <v>45396</v>
      </c>
      <c r="C4" s="31">
        <v>40.4</v>
      </c>
      <c r="D4" s="31">
        <v>40.4</v>
      </c>
      <c r="E4" s="31">
        <v>0</v>
      </c>
    </row>
    <row r="5" spans="1:5" x14ac:dyDescent="0.2">
      <c r="A5" s="31" t="s">
        <v>144</v>
      </c>
      <c r="B5" s="35">
        <v>45406</v>
      </c>
      <c r="C5" s="31">
        <v>39.299999999999997</v>
      </c>
      <c r="D5" s="31">
        <v>42.7</v>
      </c>
      <c r="E5" s="31">
        <v>3.4000000000000057</v>
      </c>
    </row>
    <row r="6" spans="1:5" x14ac:dyDescent="0.2">
      <c r="A6" s="34" t="s">
        <v>19</v>
      </c>
      <c r="B6" s="35">
        <v>45413</v>
      </c>
      <c r="C6" s="31">
        <v>41.8</v>
      </c>
      <c r="D6" s="31">
        <v>41.8</v>
      </c>
      <c r="E6" s="31">
        <v>0</v>
      </c>
    </row>
    <row r="7" spans="1:5" x14ac:dyDescent="0.2">
      <c r="A7" s="31" t="s">
        <v>147</v>
      </c>
      <c r="B7" s="35">
        <v>45434</v>
      </c>
      <c r="C7" s="31">
        <v>25.3</v>
      </c>
      <c r="D7" s="31">
        <v>38.9</v>
      </c>
      <c r="E7" s="42">
        <v>13.599999999999998</v>
      </c>
    </row>
    <row r="8" spans="1:5" x14ac:dyDescent="0.2">
      <c r="A8" s="31" t="s">
        <v>152</v>
      </c>
      <c r="B8" s="35">
        <v>45455</v>
      </c>
      <c r="C8" s="31">
        <v>21.1</v>
      </c>
      <c r="D8" s="31">
        <v>33.700000000000003</v>
      </c>
      <c r="E8" s="42">
        <v>12.600000000000001</v>
      </c>
    </row>
    <row r="9" spans="1:5" x14ac:dyDescent="0.2">
      <c r="A9" s="34" t="s">
        <v>42</v>
      </c>
      <c r="B9" s="36" t="s">
        <v>43</v>
      </c>
      <c r="C9" s="31">
        <v>41.8</v>
      </c>
      <c r="D9" s="31">
        <v>42.5</v>
      </c>
      <c r="E9" s="31">
        <v>0.70000000000000284</v>
      </c>
    </row>
    <row r="10" spans="1:5" x14ac:dyDescent="0.2">
      <c r="A10" s="34" t="s">
        <v>44</v>
      </c>
      <c r="B10" s="36" t="s">
        <v>45</v>
      </c>
      <c r="C10" s="31">
        <v>39.9</v>
      </c>
      <c r="D10" s="31">
        <v>40.5</v>
      </c>
      <c r="E10" s="31">
        <v>0.60000000000000142</v>
      </c>
    </row>
    <row r="11" spans="1:5" x14ac:dyDescent="0.2">
      <c r="A11" s="34" t="s">
        <v>47</v>
      </c>
      <c r="B11" s="37">
        <v>45546</v>
      </c>
      <c r="C11" s="31">
        <v>38</v>
      </c>
      <c r="D11" s="31">
        <v>37.700000000000003</v>
      </c>
      <c r="E11" s="31">
        <v>0.29999999999999716</v>
      </c>
    </row>
    <row r="12" spans="1:5" x14ac:dyDescent="0.2">
      <c r="A12" s="34" t="s">
        <v>48</v>
      </c>
      <c r="B12" s="37">
        <v>45550</v>
      </c>
      <c r="C12" s="31">
        <v>41.3</v>
      </c>
      <c r="D12" s="31">
        <v>41.2</v>
      </c>
      <c r="E12" s="31">
        <v>9.9999999999994316E-2</v>
      </c>
    </row>
    <row r="13" spans="1:5" x14ac:dyDescent="0.2">
      <c r="A13" s="34" t="s">
        <v>57</v>
      </c>
      <c r="B13" s="36" t="s">
        <v>58</v>
      </c>
      <c r="C13" s="31">
        <v>38.299999999999997</v>
      </c>
      <c r="D13" s="31">
        <v>39.6</v>
      </c>
      <c r="E13" s="31">
        <v>1.3000000000000043</v>
      </c>
    </row>
    <row r="14" spans="1:5" x14ac:dyDescent="0.2">
      <c r="A14" s="34" t="s">
        <v>61</v>
      </c>
      <c r="B14" s="37">
        <v>45592</v>
      </c>
      <c r="C14" s="31">
        <v>38.5</v>
      </c>
      <c r="D14" s="31">
        <v>40.5</v>
      </c>
      <c r="E14" s="31">
        <v>2</v>
      </c>
    </row>
    <row r="15" spans="1:5" x14ac:dyDescent="0.2">
      <c r="A15" s="31" t="s">
        <v>157</v>
      </c>
      <c r="B15" s="35">
        <v>45595</v>
      </c>
      <c r="C15" s="31">
        <v>40.200000000000003</v>
      </c>
      <c r="D15" s="31">
        <v>38.799999999999997</v>
      </c>
      <c r="E15" s="31">
        <v>1.4000000000000057</v>
      </c>
    </row>
    <row r="16" spans="1:5" x14ac:dyDescent="0.2">
      <c r="A16" s="34" t="s">
        <v>62</v>
      </c>
      <c r="B16" s="36" t="s">
        <v>63</v>
      </c>
      <c r="C16" s="31">
        <v>40.5</v>
      </c>
      <c r="D16" s="31">
        <v>41</v>
      </c>
      <c r="E16" s="31">
        <v>0.5</v>
      </c>
    </row>
    <row r="17" spans="1:5" x14ac:dyDescent="0.2">
      <c r="A17" s="34" t="s">
        <v>64</v>
      </c>
      <c r="B17" s="36" t="s">
        <v>65</v>
      </c>
      <c r="C17" s="31">
        <v>40.9</v>
      </c>
      <c r="D17" s="31">
        <v>41.6</v>
      </c>
      <c r="E17" s="31">
        <v>0.70000000000000284</v>
      </c>
    </row>
    <row r="18" spans="1:5" x14ac:dyDescent="0.2">
      <c r="A18" s="34" t="s">
        <v>66</v>
      </c>
      <c r="B18" s="36" t="s">
        <v>67</v>
      </c>
      <c r="C18" s="31">
        <v>38.1</v>
      </c>
      <c r="D18" s="31">
        <v>39.5</v>
      </c>
      <c r="E18" s="31">
        <v>1.3999999999999986</v>
      </c>
    </row>
    <row r="19" spans="1:5" x14ac:dyDescent="0.2">
      <c r="A19" s="34" t="s">
        <v>68</v>
      </c>
      <c r="B19" s="37">
        <v>45609</v>
      </c>
      <c r="C19" s="31">
        <v>39.299999999999997</v>
      </c>
      <c r="D19" s="31">
        <v>41.6</v>
      </c>
      <c r="E19" s="31">
        <v>2.3000000000000043</v>
      </c>
    </row>
    <row r="20" spans="1:5" x14ac:dyDescent="0.2">
      <c r="A20" s="34" t="s">
        <v>69</v>
      </c>
      <c r="B20" s="37">
        <v>45613</v>
      </c>
      <c r="C20" s="31">
        <v>41.5</v>
      </c>
      <c r="D20" s="31">
        <v>39.9</v>
      </c>
      <c r="E20" s="31">
        <v>1.6000000000000014</v>
      </c>
    </row>
    <row r="21" spans="1:5" x14ac:dyDescent="0.2">
      <c r="A21" s="31" t="s">
        <v>158</v>
      </c>
      <c r="B21" s="35">
        <v>45623</v>
      </c>
      <c r="C21" s="31">
        <v>39.799999999999997</v>
      </c>
      <c r="D21" s="31">
        <v>40.5</v>
      </c>
      <c r="E21" s="31">
        <v>0.70000000000000284</v>
      </c>
    </row>
    <row r="22" spans="1:5" x14ac:dyDescent="0.2">
      <c r="A22" s="34" t="s">
        <v>80</v>
      </c>
      <c r="B22" s="37">
        <v>45637</v>
      </c>
      <c r="C22" s="31">
        <v>42.1</v>
      </c>
      <c r="D22" s="31">
        <v>38.299999999999997</v>
      </c>
      <c r="E22" s="31">
        <v>3.8000000000000043</v>
      </c>
    </row>
    <row r="23" spans="1:5" x14ac:dyDescent="0.2">
      <c r="A23" s="34" t="s">
        <v>87</v>
      </c>
      <c r="B23" s="36" t="s">
        <v>88</v>
      </c>
      <c r="C23" s="31">
        <v>41.6</v>
      </c>
      <c r="D23" s="31">
        <v>39.1</v>
      </c>
      <c r="E23" s="31">
        <v>2.5</v>
      </c>
    </row>
    <row r="24" spans="1:5" x14ac:dyDescent="0.2">
      <c r="A24" s="34" t="s">
        <v>93</v>
      </c>
      <c r="B24" s="37">
        <v>45665</v>
      </c>
      <c r="C24" s="31">
        <v>40.799999999999997</v>
      </c>
      <c r="D24" s="31">
        <v>38.9</v>
      </c>
      <c r="E24" s="31">
        <v>1.8999999999999986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9"/>
  <sheetViews>
    <sheetView workbookViewId="0">
      <selection activeCell="E1" sqref="E1"/>
    </sheetView>
  </sheetViews>
  <sheetFormatPr baseColWidth="10" defaultRowHeight="15" x14ac:dyDescent="0.2"/>
  <cols>
    <col min="1" max="1" width="20.6640625" customWidth="1"/>
    <col min="2" max="2" width="11.33203125" style="1" customWidth="1"/>
    <col min="3" max="16384" width="10.83203125" style="2"/>
  </cols>
  <sheetData>
    <row r="1" spans="1:5" ht="13" x14ac:dyDescent="0.15">
      <c r="A1" s="3" t="s">
        <v>103</v>
      </c>
      <c r="B1" s="4" t="s">
        <v>1</v>
      </c>
      <c r="C1" s="3" t="s">
        <v>182</v>
      </c>
      <c r="D1" s="3" t="s">
        <v>185</v>
      </c>
      <c r="E1" s="3" t="s">
        <v>163</v>
      </c>
    </row>
    <row r="2" spans="1:5" ht="12" x14ac:dyDescent="0.15">
      <c r="A2" s="31" t="s">
        <v>134</v>
      </c>
      <c r="B2" s="35">
        <v>45350</v>
      </c>
      <c r="C2" s="31">
        <v>30.5</v>
      </c>
      <c r="D2" s="31">
        <v>27.7</v>
      </c>
      <c r="E2" s="31">
        <v>2.8000000000000007</v>
      </c>
    </row>
    <row r="3" spans="1:5" ht="12" x14ac:dyDescent="0.15">
      <c r="A3" s="34" t="s">
        <v>9</v>
      </c>
      <c r="B3" s="35">
        <v>45375</v>
      </c>
      <c r="C3" s="31">
        <v>38</v>
      </c>
      <c r="D3" s="31">
        <v>38.5</v>
      </c>
      <c r="E3" s="31">
        <v>0.5</v>
      </c>
    </row>
    <row r="4" spans="1:5" ht="12" x14ac:dyDescent="0.15">
      <c r="A4" s="34" t="s">
        <v>11</v>
      </c>
      <c r="B4" s="35">
        <v>45382</v>
      </c>
      <c r="C4" s="31">
        <v>42.1</v>
      </c>
      <c r="D4" s="31">
        <v>41.4</v>
      </c>
      <c r="E4" s="31">
        <v>0.70000000000000284</v>
      </c>
    </row>
    <row r="5" spans="1:5" ht="12" x14ac:dyDescent="0.15">
      <c r="A5" s="34" t="s">
        <v>18</v>
      </c>
      <c r="B5" s="35">
        <v>45410</v>
      </c>
      <c r="C5" s="31">
        <v>41.8</v>
      </c>
      <c r="D5" s="31">
        <v>40.1</v>
      </c>
      <c r="E5" s="31">
        <v>1.6999999999999957</v>
      </c>
    </row>
    <row r="6" spans="1:5" ht="12" x14ac:dyDescent="0.15">
      <c r="A6" s="34" t="s">
        <v>20</v>
      </c>
      <c r="B6" s="35">
        <v>45417</v>
      </c>
      <c r="C6" s="31">
        <v>41.4</v>
      </c>
      <c r="D6" s="31">
        <v>40.799999999999997</v>
      </c>
      <c r="E6" s="31">
        <v>0.60000000000000142</v>
      </c>
    </row>
    <row r="7" spans="1:5" ht="12" x14ac:dyDescent="0.15">
      <c r="A7" s="31" t="s">
        <v>145</v>
      </c>
      <c r="B7" s="35">
        <v>45427</v>
      </c>
      <c r="C7" s="31">
        <v>23</v>
      </c>
      <c r="D7" s="31">
        <v>41.3</v>
      </c>
      <c r="E7" s="42">
        <v>18.299999999999997</v>
      </c>
    </row>
    <row r="8" spans="1:5" ht="12" x14ac:dyDescent="0.15">
      <c r="A8" s="31" t="s">
        <v>151</v>
      </c>
      <c r="B8" s="35">
        <v>45452</v>
      </c>
      <c r="C8" s="31">
        <v>25.8</v>
      </c>
      <c r="D8" s="31">
        <v>41.5</v>
      </c>
      <c r="E8" s="42">
        <v>15.7</v>
      </c>
    </row>
    <row r="9" spans="1:5" ht="12" x14ac:dyDescent="0.15">
      <c r="A9" s="31" t="s">
        <v>154</v>
      </c>
      <c r="B9" s="35">
        <v>45469</v>
      </c>
      <c r="C9" s="31">
        <v>28.3</v>
      </c>
      <c r="D9" s="31">
        <v>28.2</v>
      </c>
      <c r="E9" s="31">
        <v>0.10000000000000142</v>
      </c>
    </row>
    <row r="10" spans="1:5" ht="12" x14ac:dyDescent="0.15">
      <c r="A10" s="34" t="s">
        <v>27</v>
      </c>
      <c r="B10" s="37">
        <v>45483</v>
      </c>
      <c r="C10" s="31">
        <v>41.4</v>
      </c>
      <c r="D10" s="31">
        <v>41.7</v>
      </c>
      <c r="E10" s="31">
        <v>0.30000000000000426</v>
      </c>
    </row>
    <row r="11" spans="1:5" ht="12" x14ac:dyDescent="0.15">
      <c r="A11" s="34" t="s">
        <v>47</v>
      </c>
      <c r="B11" s="37">
        <v>45546</v>
      </c>
      <c r="C11" s="31">
        <v>40.6</v>
      </c>
      <c r="D11" s="31">
        <v>40.299999999999997</v>
      </c>
      <c r="E11" s="31">
        <v>0.30000000000000426</v>
      </c>
    </row>
    <row r="12" spans="1:5" ht="12" x14ac:dyDescent="0.15">
      <c r="A12" s="34" t="s">
        <v>59</v>
      </c>
      <c r="B12" s="37">
        <v>45585</v>
      </c>
      <c r="C12" s="31">
        <v>40.799999999999997</v>
      </c>
      <c r="D12" s="31">
        <v>41.8</v>
      </c>
      <c r="E12" s="31">
        <v>1</v>
      </c>
    </row>
    <row r="13" spans="1:5" ht="12" x14ac:dyDescent="0.15">
      <c r="A13" s="34" t="s">
        <v>62</v>
      </c>
      <c r="B13" s="36" t="s">
        <v>63</v>
      </c>
      <c r="C13" s="31">
        <v>38</v>
      </c>
      <c r="D13" s="31">
        <v>36.9</v>
      </c>
      <c r="E13" s="31">
        <v>1.1000000000000014</v>
      </c>
    </row>
    <row r="14" spans="1:5" ht="12" x14ac:dyDescent="0.15">
      <c r="A14" s="34" t="s">
        <v>64</v>
      </c>
      <c r="B14" s="36" t="s">
        <v>65</v>
      </c>
      <c r="C14" s="31">
        <v>41.7</v>
      </c>
      <c r="D14" s="31">
        <v>40.5</v>
      </c>
      <c r="E14" s="31">
        <v>1.2000000000000028</v>
      </c>
    </row>
    <row r="15" spans="1:5" ht="12" x14ac:dyDescent="0.15">
      <c r="A15" s="34" t="s">
        <v>69</v>
      </c>
      <c r="B15" s="37">
        <v>45613</v>
      </c>
      <c r="C15" s="31">
        <v>40</v>
      </c>
      <c r="D15" s="31">
        <v>42.2</v>
      </c>
      <c r="E15" s="31">
        <v>2.2000000000000028</v>
      </c>
    </row>
    <row r="16" spans="1:5" ht="12" x14ac:dyDescent="0.15">
      <c r="A16" s="34" t="s">
        <v>74</v>
      </c>
      <c r="B16" s="36" t="s">
        <v>75</v>
      </c>
      <c r="C16" s="31">
        <v>39.9</v>
      </c>
      <c r="D16" s="31">
        <v>42.5</v>
      </c>
      <c r="E16" s="31">
        <v>2.6000000000000014</v>
      </c>
    </row>
    <row r="17" spans="1:5" ht="12" x14ac:dyDescent="0.15">
      <c r="A17" s="34" t="s">
        <v>93</v>
      </c>
      <c r="B17" s="37">
        <v>45665</v>
      </c>
      <c r="C17" s="31">
        <v>42.4</v>
      </c>
      <c r="D17" s="31">
        <v>40.4</v>
      </c>
      <c r="E17" s="31">
        <v>2</v>
      </c>
    </row>
    <row r="18" spans="1:5" ht="12" x14ac:dyDescent="0.15">
      <c r="A18" s="34" t="s">
        <v>95</v>
      </c>
      <c r="B18" s="36" t="s">
        <v>96</v>
      </c>
      <c r="C18" s="31">
        <v>41.4</v>
      </c>
      <c r="D18" s="31">
        <v>39.9</v>
      </c>
      <c r="E18" s="31">
        <v>1.5</v>
      </c>
    </row>
    <row r="19" spans="1:5" ht="12" x14ac:dyDescent="0.15">
      <c r="A19" s="34" t="s">
        <v>99</v>
      </c>
      <c r="B19" s="36" t="s">
        <v>100</v>
      </c>
      <c r="C19" s="31">
        <v>40.9</v>
      </c>
      <c r="D19" s="31">
        <v>42.2</v>
      </c>
      <c r="E19" s="31">
        <v>1.3000000000000043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9"/>
  <sheetViews>
    <sheetView workbookViewId="0">
      <selection activeCell="E1" sqref="E1"/>
    </sheetView>
  </sheetViews>
  <sheetFormatPr baseColWidth="10" defaultRowHeight="15" x14ac:dyDescent="0.2"/>
  <cols>
    <col min="3" max="5" width="10.83203125" style="2"/>
  </cols>
  <sheetData>
    <row r="1" spans="1:5" x14ac:dyDescent="0.2">
      <c r="A1" s="3" t="s">
        <v>103</v>
      </c>
      <c r="B1" s="4" t="s">
        <v>1</v>
      </c>
      <c r="C1" s="3" t="s">
        <v>195</v>
      </c>
      <c r="D1" s="3" t="s">
        <v>196</v>
      </c>
      <c r="E1" s="3" t="s">
        <v>163</v>
      </c>
    </row>
    <row r="2" spans="1:5" x14ac:dyDescent="0.2">
      <c r="A2" s="31" t="s">
        <v>141</v>
      </c>
      <c r="B2" s="35">
        <v>45322</v>
      </c>
      <c r="C2" s="31">
        <v>39.200000000000003</v>
      </c>
      <c r="D2" s="31">
        <v>41.2</v>
      </c>
      <c r="E2" s="31">
        <v>2</v>
      </c>
    </row>
    <row r="3" spans="1:5" x14ac:dyDescent="0.2">
      <c r="A3" s="34" t="s">
        <v>137</v>
      </c>
      <c r="B3" s="35">
        <v>45340</v>
      </c>
      <c r="C3" s="31">
        <v>39.299999999999997</v>
      </c>
      <c r="D3" s="31">
        <v>39.6</v>
      </c>
      <c r="E3" s="31">
        <v>0.30000000000000426</v>
      </c>
    </row>
    <row r="4" spans="1:5" x14ac:dyDescent="0.2">
      <c r="A4" s="31" t="s">
        <v>133</v>
      </c>
      <c r="B4" s="35">
        <v>45371</v>
      </c>
      <c r="C4" s="31">
        <v>40.299999999999997</v>
      </c>
      <c r="D4" s="31">
        <v>42.5</v>
      </c>
      <c r="E4" s="31">
        <v>2.2000000000000028</v>
      </c>
    </row>
    <row r="5" spans="1:5" x14ac:dyDescent="0.2">
      <c r="A5" s="34" t="s">
        <v>15</v>
      </c>
      <c r="B5" s="35">
        <v>45396</v>
      </c>
      <c r="C5" s="31">
        <v>41.3</v>
      </c>
      <c r="D5" s="31">
        <v>40.5</v>
      </c>
      <c r="E5" s="31">
        <v>0.79999999999999716</v>
      </c>
    </row>
    <row r="6" spans="1:5" x14ac:dyDescent="0.2">
      <c r="A6" s="34" t="s">
        <v>19</v>
      </c>
      <c r="B6" s="35">
        <v>45413</v>
      </c>
      <c r="C6" s="31">
        <v>41.3</v>
      </c>
      <c r="D6" s="31">
        <v>41.3</v>
      </c>
      <c r="E6" s="31">
        <v>0</v>
      </c>
    </row>
    <row r="7" spans="1:5" x14ac:dyDescent="0.2">
      <c r="A7" s="34" t="s">
        <v>20</v>
      </c>
      <c r="B7" s="35">
        <v>45417</v>
      </c>
      <c r="C7" s="31">
        <v>41</v>
      </c>
      <c r="D7" s="31">
        <v>40.6</v>
      </c>
      <c r="E7" s="31">
        <v>0.39999999999999858</v>
      </c>
    </row>
    <row r="8" spans="1:5" x14ac:dyDescent="0.2">
      <c r="A8" s="31" t="s">
        <v>154</v>
      </c>
      <c r="B8" s="35">
        <v>45469</v>
      </c>
      <c r="C8" s="31">
        <v>40.299999999999997</v>
      </c>
      <c r="D8" s="31">
        <v>41.9</v>
      </c>
      <c r="E8" s="31">
        <v>1.6000000000000014</v>
      </c>
    </row>
    <row r="9" spans="1:5" x14ac:dyDescent="0.2">
      <c r="A9" s="34" t="s">
        <v>54</v>
      </c>
      <c r="B9" s="37">
        <v>45571</v>
      </c>
      <c r="C9" s="31">
        <v>42.5</v>
      </c>
      <c r="D9" s="31">
        <v>42.2</v>
      </c>
      <c r="E9" s="31">
        <v>0.29999999999999716</v>
      </c>
    </row>
    <row r="10" spans="1:5" x14ac:dyDescent="0.2">
      <c r="A10" s="34" t="s">
        <v>64</v>
      </c>
      <c r="B10" s="36" t="s">
        <v>65</v>
      </c>
      <c r="C10" s="31">
        <v>39.4</v>
      </c>
      <c r="D10" s="31">
        <v>42.5</v>
      </c>
      <c r="E10" s="31">
        <v>3.1000000000000014</v>
      </c>
    </row>
    <row r="11" spans="1:5" x14ac:dyDescent="0.2">
      <c r="A11" s="34" t="s">
        <v>68</v>
      </c>
      <c r="B11" s="37">
        <v>45609</v>
      </c>
      <c r="C11" s="31">
        <v>40.9</v>
      </c>
      <c r="D11" s="31">
        <v>41.3</v>
      </c>
      <c r="E11" s="31">
        <v>0.39999999999999858</v>
      </c>
    </row>
    <row r="12" spans="1:5" x14ac:dyDescent="0.2">
      <c r="A12" s="34" t="s">
        <v>70</v>
      </c>
      <c r="B12" s="36" t="s">
        <v>71</v>
      </c>
      <c r="C12" s="31">
        <v>38.799999999999997</v>
      </c>
      <c r="D12" s="31">
        <v>39.5</v>
      </c>
      <c r="E12" s="31">
        <v>0.70000000000000284</v>
      </c>
    </row>
    <row r="13" spans="1:5" x14ac:dyDescent="0.2">
      <c r="A13" s="31" t="s">
        <v>158</v>
      </c>
      <c r="B13" s="35">
        <v>45623</v>
      </c>
      <c r="C13" s="31">
        <v>40.6</v>
      </c>
      <c r="D13" s="31">
        <v>39.799999999999997</v>
      </c>
      <c r="E13" s="31">
        <v>0.80000000000000426</v>
      </c>
    </row>
    <row r="14" spans="1:5" x14ac:dyDescent="0.2">
      <c r="A14" s="34" t="s">
        <v>80</v>
      </c>
      <c r="B14" s="37">
        <v>45637</v>
      </c>
      <c r="C14" s="31">
        <v>40.6</v>
      </c>
      <c r="D14" s="31">
        <v>40.9</v>
      </c>
      <c r="E14" s="31">
        <v>0.29999999999999716</v>
      </c>
    </row>
    <row r="15" spans="1:5" x14ac:dyDescent="0.2">
      <c r="A15" s="34" t="s">
        <v>85</v>
      </c>
      <c r="B15" s="36" t="s">
        <v>86</v>
      </c>
      <c r="C15" s="31">
        <v>40.1</v>
      </c>
      <c r="D15" s="31">
        <v>41.1</v>
      </c>
      <c r="E15" s="31">
        <v>1</v>
      </c>
    </row>
    <row r="16" spans="1:5" x14ac:dyDescent="0.2">
      <c r="A16" s="34" t="s">
        <v>87</v>
      </c>
      <c r="B16" s="36" t="s">
        <v>88</v>
      </c>
      <c r="C16" s="31">
        <v>41.3</v>
      </c>
      <c r="D16" s="31">
        <v>42.3</v>
      </c>
      <c r="E16" s="31">
        <v>1</v>
      </c>
    </row>
    <row r="17" spans="1:5" x14ac:dyDescent="0.2">
      <c r="A17" s="34" t="s">
        <v>89</v>
      </c>
      <c r="B17" s="36" t="s">
        <v>90</v>
      </c>
      <c r="C17" s="31">
        <v>35.4</v>
      </c>
      <c r="D17" s="31">
        <v>38.200000000000003</v>
      </c>
      <c r="E17" s="31">
        <v>2.8000000000000043</v>
      </c>
    </row>
    <row r="18" spans="1:5" x14ac:dyDescent="0.2">
      <c r="A18" s="34" t="s">
        <v>91</v>
      </c>
      <c r="B18" s="36" t="s">
        <v>92</v>
      </c>
      <c r="C18" s="31">
        <v>42</v>
      </c>
      <c r="D18" s="31">
        <v>41.5</v>
      </c>
      <c r="E18" s="31">
        <v>0.5</v>
      </c>
    </row>
    <row r="19" spans="1:5" x14ac:dyDescent="0.2">
      <c r="A19" s="34" t="s">
        <v>93</v>
      </c>
      <c r="B19" s="37">
        <v>45665</v>
      </c>
      <c r="C19" s="31">
        <v>41.4</v>
      </c>
      <c r="D19" s="31">
        <v>41.4</v>
      </c>
      <c r="E19" s="3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9"/>
  <sheetViews>
    <sheetView workbookViewId="0">
      <selection activeCell="A2" sqref="A2:A9"/>
    </sheetView>
  </sheetViews>
  <sheetFormatPr baseColWidth="10" defaultRowHeight="15" x14ac:dyDescent="0.2"/>
  <cols>
    <col min="1" max="1" width="20.6640625" customWidth="1"/>
    <col min="2" max="2" width="11.33203125" style="1" customWidth="1"/>
    <col min="3" max="5" width="10.83203125" style="30"/>
  </cols>
  <sheetData>
    <row r="1" spans="1:5" x14ac:dyDescent="0.2">
      <c r="A1" s="3" t="s">
        <v>103</v>
      </c>
      <c r="B1" s="4" t="s">
        <v>1</v>
      </c>
      <c r="C1" s="3" t="s">
        <v>168</v>
      </c>
      <c r="D1" s="3" t="s">
        <v>169</v>
      </c>
      <c r="E1" s="3" t="s">
        <v>163</v>
      </c>
    </row>
    <row r="2" spans="1:5" x14ac:dyDescent="0.2">
      <c r="A2" s="34" t="s">
        <v>138</v>
      </c>
      <c r="B2" s="35">
        <v>45333</v>
      </c>
      <c r="C2" s="31">
        <v>39.1</v>
      </c>
      <c r="D2" s="31">
        <v>38.799999999999997</v>
      </c>
      <c r="E2" s="31">
        <v>0.30000000000000426</v>
      </c>
    </row>
    <row r="3" spans="1:5" x14ac:dyDescent="0.2">
      <c r="A3" s="31" t="s">
        <v>152</v>
      </c>
      <c r="B3" s="35">
        <v>45455</v>
      </c>
      <c r="C3" s="31">
        <v>28.8</v>
      </c>
      <c r="D3" s="31">
        <v>42</v>
      </c>
      <c r="E3" s="42">
        <v>13.2</v>
      </c>
    </row>
    <row r="4" spans="1:5" x14ac:dyDescent="0.2">
      <c r="A4" s="34" t="s">
        <v>31</v>
      </c>
      <c r="B4" s="37">
        <v>45501</v>
      </c>
      <c r="C4" s="31">
        <v>38.9</v>
      </c>
      <c r="D4" s="31">
        <v>37.700000000000003</v>
      </c>
      <c r="E4" s="31">
        <v>1.1999999999999957</v>
      </c>
    </row>
    <row r="5" spans="1:5" x14ac:dyDescent="0.2">
      <c r="A5" s="34" t="s">
        <v>40</v>
      </c>
      <c r="B5" s="36" t="s">
        <v>41</v>
      </c>
      <c r="C5" s="31">
        <v>42.3</v>
      </c>
      <c r="D5" s="31">
        <v>40.700000000000003</v>
      </c>
      <c r="E5" s="31">
        <v>1.5999999999999943</v>
      </c>
    </row>
    <row r="6" spans="1:5" x14ac:dyDescent="0.2">
      <c r="A6" s="34" t="s">
        <v>59</v>
      </c>
      <c r="B6" s="37">
        <v>45585</v>
      </c>
      <c r="C6" s="31">
        <v>41.7</v>
      </c>
      <c r="D6" s="31">
        <v>41.1</v>
      </c>
      <c r="E6" s="31">
        <v>0.60000000000000142</v>
      </c>
    </row>
    <row r="7" spans="1:5" x14ac:dyDescent="0.2">
      <c r="A7" s="34" t="s">
        <v>68</v>
      </c>
      <c r="B7" s="37">
        <v>45609</v>
      </c>
      <c r="C7" s="31">
        <v>40.9</v>
      </c>
      <c r="D7" s="31">
        <v>41.2</v>
      </c>
      <c r="E7" s="31">
        <v>0.30000000000000426</v>
      </c>
    </row>
    <row r="8" spans="1:5" x14ac:dyDescent="0.2">
      <c r="A8" s="34" t="s">
        <v>78</v>
      </c>
      <c r="B8" s="36" t="s">
        <v>79</v>
      </c>
      <c r="C8" s="31">
        <v>41.5</v>
      </c>
      <c r="D8" s="31">
        <v>39.799999999999997</v>
      </c>
      <c r="E8" s="31">
        <v>1.7000000000000028</v>
      </c>
    </row>
    <row r="9" spans="1:5" x14ac:dyDescent="0.2">
      <c r="A9" s="34" t="s">
        <v>94</v>
      </c>
      <c r="B9" s="37">
        <v>45669</v>
      </c>
      <c r="C9" s="31">
        <v>38.299999999999997</v>
      </c>
      <c r="D9" s="31">
        <v>38.700000000000003</v>
      </c>
      <c r="E9" s="31">
        <v>0.40000000000000568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9"/>
  <sheetViews>
    <sheetView workbookViewId="0">
      <selection activeCell="E1" sqref="E1"/>
    </sheetView>
  </sheetViews>
  <sheetFormatPr baseColWidth="10" defaultRowHeight="15" x14ac:dyDescent="0.2"/>
  <cols>
    <col min="3" max="5" width="10.83203125" style="2"/>
  </cols>
  <sheetData>
    <row r="1" spans="1:5" x14ac:dyDescent="0.2">
      <c r="A1" s="3" t="s">
        <v>103</v>
      </c>
      <c r="B1" s="4" t="s">
        <v>1</v>
      </c>
      <c r="C1" s="3" t="s">
        <v>199</v>
      </c>
      <c r="D1" s="3" t="s">
        <v>200</v>
      </c>
      <c r="E1" s="3" t="s">
        <v>163</v>
      </c>
    </row>
    <row r="2" spans="1:5" x14ac:dyDescent="0.2">
      <c r="A2" s="34" t="s">
        <v>13</v>
      </c>
      <c r="B2" s="35">
        <v>45389</v>
      </c>
      <c r="C2" s="31">
        <v>39.1</v>
      </c>
      <c r="D2" s="31">
        <v>39.299999999999997</v>
      </c>
      <c r="E2" s="31">
        <v>0.19999999999999574</v>
      </c>
    </row>
    <row r="3" spans="1:5" x14ac:dyDescent="0.2">
      <c r="A3" s="34" t="s">
        <v>64</v>
      </c>
      <c r="B3" s="36" t="s">
        <v>65</v>
      </c>
      <c r="C3" s="31">
        <v>39.4</v>
      </c>
      <c r="D3" s="31">
        <v>37.4</v>
      </c>
      <c r="E3" s="31">
        <v>2</v>
      </c>
    </row>
    <row r="4" spans="1:5" x14ac:dyDescent="0.2">
      <c r="A4" s="34" t="s">
        <v>66</v>
      </c>
      <c r="B4" s="36" t="s">
        <v>67</v>
      </c>
      <c r="C4" s="31">
        <v>38.1</v>
      </c>
      <c r="D4" s="31">
        <v>39.6</v>
      </c>
      <c r="E4" s="31">
        <v>1.5</v>
      </c>
    </row>
    <row r="5" spans="1:5" x14ac:dyDescent="0.2">
      <c r="A5" s="34" t="s">
        <v>74</v>
      </c>
      <c r="B5" s="36" t="s">
        <v>75</v>
      </c>
      <c r="C5" s="31">
        <v>39.9</v>
      </c>
      <c r="D5" s="31">
        <v>40.4</v>
      </c>
      <c r="E5" s="31">
        <v>0.5</v>
      </c>
    </row>
    <row r="6" spans="1:5" x14ac:dyDescent="0.2">
      <c r="A6" s="34" t="s">
        <v>85</v>
      </c>
      <c r="B6" s="36" t="s">
        <v>86</v>
      </c>
      <c r="C6" s="31">
        <v>39.700000000000003</v>
      </c>
      <c r="D6" s="31">
        <v>37.6</v>
      </c>
      <c r="E6" s="31">
        <v>2.1000000000000014</v>
      </c>
    </row>
    <row r="7" spans="1:5" x14ac:dyDescent="0.2">
      <c r="A7" s="34" t="s">
        <v>93</v>
      </c>
      <c r="B7" s="37">
        <v>45665</v>
      </c>
      <c r="C7" s="31">
        <v>38.700000000000003</v>
      </c>
      <c r="D7" s="31">
        <v>40.299999999999997</v>
      </c>
      <c r="E7" s="31">
        <v>1.5999999999999943</v>
      </c>
    </row>
    <row r="8" spans="1:5" x14ac:dyDescent="0.2">
      <c r="A8" s="34" t="s">
        <v>95</v>
      </c>
      <c r="B8" s="36" t="s">
        <v>96</v>
      </c>
      <c r="C8" s="31">
        <v>38</v>
      </c>
      <c r="D8" s="31">
        <v>35.700000000000003</v>
      </c>
      <c r="E8" s="31">
        <v>2.2999999999999972</v>
      </c>
    </row>
    <row r="9" spans="1:5" x14ac:dyDescent="0.2">
      <c r="A9" s="34" t="s">
        <v>99</v>
      </c>
      <c r="B9" s="36" t="s">
        <v>100</v>
      </c>
      <c r="C9" s="31">
        <v>38.799999999999997</v>
      </c>
      <c r="D9" s="31">
        <v>38.700000000000003</v>
      </c>
      <c r="E9" s="31">
        <v>9.9999999999994316E-2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7"/>
  <sheetViews>
    <sheetView workbookViewId="0">
      <selection activeCell="E11" sqref="E11"/>
    </sheetView>
  </sheetViews>
  <sheetFormatPr baseColWidth="10" defaultRowHeight="15" x14ac:dyDescent="0.2"/>
  <cols>
    <col min="1" max="1" width="20.6640625" customWidth="1"/>
    <col min="2" max="2" width="11.33203125" style="1" customWidth="1"/>
  </cols>
  <sheetData>
    <row r="1" spans="1:5" x14ac:dyDescent="0.2">
      <c r="A1" s="3" t="s">
        <v>103</v>
      </c>
      <c r="B1" s="4" t="s">
        <v>1</v>
      </c>
      <c r="C1" s="3" t="s">
        <v>170</v>
      </c>
      <c r="D1" s="3" t="s">
        <v>171</v>
      </c>
      <c r="E1" s="3" t="s">
        <v>163</v>
      </c>
    </row>
    <row r="2" spans="1:5" x14ac:dyDescent="0.2">
      <c r="A2" s="34" t="s">
        <v>143</v>
      </c>
      <c r="B2" s="35">
        <v>45315</v>
      </c>
      <c r="C2" s="31">
        <v>39.200000000000003</v>
      </c>
      <c r="D2" s="31">
        <v>40.9</v>
      </c>
      <c r="E2" s="31">
        <v>1.6999999999999957</v>
      </c>
    </row>
    <row r="3" spans="1:5" x14ac:dyDescent="0.2">
      <c r="A3" s="34" t="s">
        <v>15</v>
      </c>
      <c r="B3" s="35">
        <v>45396</v>
      </c>
      <c r="C3" s="31">
        <v>39.700000000000003</v>
      </c>
      <c r="D3" s="31">
        <v>41.6</v>
      </c>
      <c r="E3" s="31">
        <v>1.8999999999999986</v>
      </c>
    </row>
    <row r="4" spans="1:5" x14ac:dyDescent="0.2">
      <c r="A4" s="34" t="s">
        <v>19</v>
      </c>
      <c r="B4" s="35">
        <v>45413</v>
      </c>
      <c r="C4" s="31">
        <v>39</v>
      </c>
      <c r="D4" s="31">
        <v>41.2</v>
      </c>
      <c r="E4" s="31">
        <v>2.2000000000000028</v>
      </c>
    </row>
    <row r="5" spans="1:5" x14ac:dyDescent="0.2">
      <c r="A5" s="34" t="s">
        <v>42</v>
      </c>
      <c r="B5" s="36" t="s">
        <v>43</v>
      </c>
      <c r="C5" s="31">
        <v>40.9</v>
      </c>
      <c r="D5" s="31">
        <v>40.5</v>
      </c>
      <c r="E5" s="31">
        <v>0.39999999999999858</v>
      </c>
    </row>
    <row r="6" spans="1:5" x14ac:dyDescent="0.2">
      <c r="A6" s="34" t="s">
        <v>74</v>
      </c>
      <c r="B6" s="36" t="s">
        <v>75</v>
      </c>
      <c r="C6" s="31">
        <v>40.9</v>
      </c>
      <c r="D6" s="31">
        <v>42.1</v>
      </c>
      <c r="E6" s="31">
        <v>1.2000000000000028</v>
      </c>
    </row>
    <row r="7" spans="1:5" x14ac:dyDescent="0.2">
      <c r="A7" s="40" t="s">
        <v>160</v>
      </c>
      <c r="B7" s="35">
        <v>45686</v>
      </c>
      <c r="C7" s="31">
        <v>39.5</v>
      </c>
      <c r="D7" s="31">
        <v>41</v>
      </c>
      <c r="E7" s="31">
        <v>1.5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5"/>
  <sheetViews>
    <sheetView workbookViewId="0">
      <selection activeCell="E1" sqref="E1"/>
    </sheetView>
  </sheetViews>
  <sheetFormatPr baseColWidth="10" defaultRowHeight="15" x14ac:dyDescent="0.2"/>
  <cols>
    <col min="1" max="1" width="20.6640625" customWidth="1"/>
    <col min="2" max="2" width="11.33203125" style="1" customWidth="1"/>
  </cols>
  <sheetData>
    <row r="1" spans="1:5" x14ac:dyDescent="0.2">
      <c r="A1" s="3" t="s">
        <v>103</v>
      </c>
      <c r="B1" s="4" t="s">
        <v>1</v>
      </c>
      <c r="C1" s="3" t="s">
        <v>186</v>
      </c>
      <c r="D1" s="3" t="s">
        <v>187</v>
      </c>
      <c r="E1" s="3" t="s">
        <v>163</v>
      </c>
    </row>
    <row r="2" spans="1:5" x14ac:dyDescent="0.2">
      <c r="A2" s="31" t="s">
        <v>141</v>
      </c>
      <c r="B2" s="35">
        <v>45322</v>
      </c>
      <c r="C2" s="31">
        <v>38</v>
      </c>
      <c r="D2" s="31">
        <v>39.4</v>
      </c>
      <c r="E2" s="31">
        <v>1.3999999999999986</v>
      </c>
    </row>
    <row r="3" spans="1:5" x14ac:dyDescent="0.2">
      <c r="A3" s="31" t="s">
        <v>134</v>
      </c>
      <c r="B3" s="35">
        <v>45350</v>
      </c>
      <c r="C3" s="31">
        <v>40.6</v>
      </c>
      <c r="D3" s="31">
        <v>39.4</v>
      </c>
      <c r="E3" s="31">
        <v>1.2000000000000028</v>
      </c>
    </row>
    <row r="4" spans="1:5" x14ac:dyDescent="0.2">
      <c r="A4" s="34" t="s">
        <v>66</v>
      </c>
      <c r="B4" s="36" t="s">
        <v>67</v>
      </c>
      <c r="C4" s="31">
        <v>36.4</v>
      </c>
      <c r="D4" s="31">
        <v>35.299999999999997</v>
      </c>
      <c r="E4" s="31">
        <v>1.1000000000000014</v>
      </c>
    </row>
    <row r="5" spans="1:5" x14ac:dyDescent="0.2">
      <c r="A5" s="34" t="s">
        <v>89</v>
      </c>
      <c r="B5" s="36" t="s">
        <v>90</v>
      </c>
      <c r="C5" s="31">
        <v>39.9</v>
      </c>
      <c r="D5" s="31">
        <v>40.4</v>
      </c>
      <c r="E5" s="31">
        <v>0.5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1"/>
  <sheetViews>
    <sheetView workbookViewId="0">
      <selection activeCell="G18" sqref="G18"/>
    </sheetView>
  </sheetViews>
  <sheetFormatPr baseColWidth="10" defaultRowHeight="15" x14ac:dyDescent="0.2"/>
  <cols>
    <col min="1" max="1" width="20.6640625" customWidth="1"/>
    <col min="2" max="2" width="11.33203125" style="1" customWidth="1"/>
    <col min="3" max="16384" width="10.83203125" style="2"/>
  </cols>
  <sheetData>
    <row r="1" spans="1:5" ht="13" x14ac:dyDescent="0.15">
      <c r="A1" s="3" t="s">
        <v>103</v>
      </c>
      <c r="B1" s="4" t="s">
        <v>1</v>
      </c>
      <c r="C1" s="3" t="s">
        <v>183</v>
      </c>
      <c r="D1" s="3" t="s">
        <v>190</v>
      </c>
      <c r="E1" s="3" t="s">
        <v>163</v>
      </c>
    </row>
    <row r="2" spans="1:5" ht="12" x14ac:dyDescent="0.15">
      <c r="A2" s="34" t="s">
        <v>69</v>
      </c>
      <c r="B2" s="37">
        <v>45613</v>
      </c>
      <c r="C2" s="31">
        <v>39.799999999999997</v>
      </c>
      <c r="D2" s="31">
        <v>40.4</v>
      </c>
      <c r="E2" s="31">
        <v>0.60000000000000142</v>
      </c>
    </row>
    <row r="4" spans="1:5" ht="13" x14ac:dyDescent="0.15">
      <c r="A4" s="3" t="s">
        <v>103</v>
      </c>
      <c r="B4" s="4" t="s">
        <v>1</v>
      </c>
      <c r="C4" s="3" t="s">
        <v>188</v>
      </c>
      <c r="D4" s="3" t="s">
        <v>189</v>
      </c>
      <c r="E4" s="3" t="s">
        <v>163</v>
      </c>
    </row>
    <row r="5" spans="1:5" ht="12" x14ac:dyDescent="0.15">
      <c r="A5" s="34" t="s">
        <v>66</v>
      </c>
      <c r="B5" s="36" t="s">
        <v>67</v>
      </c>
      <c r="C5" s="31">
        <v>33.1</v>
      </c>
      <c r="D5" s="31">
        <v>33</v>
      </c>
      <c r="E5" s="31">
        <v>0.10000000000000142</v>
      </c>
    </row>
    <row r="7" spans="1:5" ht="13" x14ac:dyDescent="0.15">
      <c r="A7" s="3" t="s">
        <v>103</v>
      </c>
      <c r="B7" s="4" t="s">
        <v>1</v>
      </c>
      <c r="C7" s="3" t="s">
        <v>181</v>
      </c>
      <c r="D7" s="3" t="s">
        <v>184</v>
      </c>
      <c r="E7" s="3" t="s">
        <v>163</v>
      </c>
    </row>
    <row r="8" spans="1:5" ht="12" x14ac:dyDescent="0.15">
      <c r="A8" s="34" t="s">
        <v>97</v>
      </c>
      <c r="B8" s="37">
        <v>45676</v>
      </c>
      <c r="C8" s="31">
        <v>36.1</v>
      </c>
      <c r="D8" s="31">
        <v>35.299999999999997</v>
      </c>
      <c r="E8" s="31">
        <v>0.80000000000000426</v>
      </c>
    </row>
    <row r="10" spans="1:5" ht="13" x14ac:dyDescent="0.15">
      <c r="A10" s="3" t="s">
        <v>103</v>
      </c>
      <c r="B10" s="4" t="s">
        <v>1</v>
      </c>
      <c r="C10" s="3" t="s">
        <v>179</v>
      </c>
      <c r="D10" s="3" t="s">
        <v>180</v>
      </c>
      <c r="E10" s="3" t="s">
        <v>163</v>
      </c>
    </row>
    <row r="11" spans="1:5" ht="12" x14ac:dyDescent="0.15">
      <c r="A11" s="34" t="s">
        <v>93</v>
      </c>
      <c r="B11" s="37">
        <v>45665</v>
      </c>
      <c r="C11" s="31">
        <v>40.4</v>
      </c>
      <c r="D11" s="31">
        <v>39.1</v>
      </c>
      <c r="E11" s="31">
        <v>1.2999999999999972</v>
      </c>
    </row>
    <row r="13" spans="1:5" ht="13" x14ac:dyDescent="0.15">
      <c r="A13" s="3" t="s">
        <v>103</v>
      </c>
      <c r="B13" s="4" t="s">
        <v>1</v>
      </c>
      <c r="C13" s="3" t="s">
        <v>164</v>
      </c>
      <c r="D13" s="3" t="s">
        <v>165</v>
      </c>
      <c r="E13" s="3" t="s">
        <v>163</v>
      </c>
    </row>
    <row r="14" spans="1:5" ht="12" x14ac:dyDescent="0.15">
      <c r="A14" s="34" t="s">
        <v>95</v>
      </c>
      <c r="B14" s="36" t="s">
        <v>96</v>
      </c>
      <c r="C14" s="31">
        <v>40.700000000000003</v>
      </c>
      <c r="D14" s="31">
        <v>40.1</v>
      </c>
      <c r="E14" s="31">
        <v>0.60000000000000142</v>
      </c>
    </row>
    <row r="16" spans="1:5" ht="13" x14ac:dyDescent="0.15">
      <c r="A16" s="3" t="s">
        <v>103</v>
      </c>
      <c r="B16" s="33" t="s">
        <v>1</v>
      </c>
      <c r="C16" s="3" t="s">
        <v>201</v>
      </c>
      <c r="D16" s="3" t="s">
        <v>202</v>
      </c>
      <c r="E16" s="3" t="s">
        <v>163</v>
      </c>
    </row>
    <row r="17" spans="1:5" ht="12" x14ac:dyDescent="0.15">
      <c r="A17" s="34" t="s">
        <v>70</v>
      </c>
      <c r="B17" s="44" t="s">
        <v>71</v>
      </c>
      <c r="C17" s="29">
        <v>30.7</v>
      </c>
      <c r="D17" s="29">
        <v>30.4</v>
      </c>
      <c r="E17" s="29">
        <v>0.30000000000000071</v>
      </c>
    </row>
    <row r="18" spans="1:5" ht="12" x14ac:dyDescent="0.15">
      <c r="A18" s="34" t="s">
        <v>81</v>
      </c>
      <c r="B18" s="44" t="s">
        <v>82</v>
      </c>
      <c r="C18" s="29">
        <v>36.200000000000003</v>
      </c>
      <c r="D18" s="29">
        <v>35</v>
      </c>
      <c r="E18" s="29">
        <v>1.2000000000000028</v>
      </c>
    </row>
    <row r="20" spans="1:5" ht="13" x14ac:dyDescent="0.15">
      <c r="A20" s="3" t="s">
        <v>103</v>
      </c>
      <c r="B20" s="33" t="s">
        <v>1</v>
      </c>
      <c r="C20" s="3" t="s">
        <v>175</v>
      </c>
      <c r="D20" s="3" t="s">
        <v>176</v>
      </c>
      <c r="E20" s="3" t="s">
        <v>163</v>
      </c>
    </row>
    <row r="21" spans="1:5" ht="12" x14ac:dyDescent="0.15">
      <c r="A21" s="31" t="s">
        <v>147</v>
      </c>
      <c r="B21" s="43">
        <v>45434</v>
      </c>
      <c r="C21" s="29">
        <v>23.7</v>
      </c>
      <c r="D21" s="29">
        <v>41.3</v>
      </c>
      <c r="E21" s="41">
        <v>17.599999999999998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Haute fréquence</vt:lpstr>
      <vt:lpstr>Ct par type HPV (réplicat 1)</vt:lpstr>
      <vt:lpstr>Ct par type HPV (réplicat 2)</vt:lpstr>
      <vt:lpstr>HPV 66</vt:lpstr>
      <vt:lpstr>HPV 53</vt:lpstr>
      <vt:lpstr>HPV 6</vt:lpstr>
      <vt:lpstr>HPV 39</vt:lpstr>
      <vt:lpstr>HPV 73</vt:lpstr>
      <vt:lpstr>HPV 42</vt:lpstr>
      <vt:lpstr>HPV 56</vt:lpstr>
      <vt:lpstr>HPV 43</vt:lpstr>
      <vt:lpstr>HPV 59</vt:lpstr>
      <vt:lpstr>HPV 44</vt:lpstr>
      <vt:lpstr>HPV 16</vt:lpstr>
      <vt:lpstr>HPV 68</vt:lpstr>
      <vt:lpstr>Autres HPV</vt:lpstr>
    </vt:vector>
  </TitlesOfParts>
  <Company>Université P &amp; M Curie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MICHON Pauline</dc:creator>
  <cp:lastModifiedBy>pauline.michon@sorbonne-universite.fr</cp:lastModifiedBy>
  <dcterms:created xsi:type="dcterms:W3CDTF">2025-07-11T07:25:19Z</dcterms:created>
  <dcterms:modified xsi:type="dcterms:W3CDTF">2025-08-25T10:24:49Z</dcterms:modified>
</cp:coreProperties>
</file>